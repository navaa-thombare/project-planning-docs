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pplication-development\planning-app\"/>
    </mc:Choice>
  </mc:AlternateContent>
  <xr:revisionPtr revIDLastSave="0" documentId="13_ncr:1_{46D33BE8-7D00-4AF4-B0E5-0F7605280207}" xr6:coauthVersionLast="47" xr6:coauthVersionMax="47" xr10:uidLastSave="{00000000-0000-0000-0000-000000000000}"/>
  <bookViews>
    <workbookView xWindow="-108" yWindow="-108" windowWidth="23256" windowHeight="13896" firstSheet="3" activeTab="7" xr2:uid="{00000000-000D-0000-FFFF-FFFF00000000}"/>
  </bookViews>
  <sheets>
    <sheet name="Lists" sheetId="1" r:id="rId1"/>
    <sheet name="README" sheetId="2" r:id="rId2"/>
    <sheet name="SRS" sheetId="3" r:id="rId3"/>
    <sheet name="Requirements" sheetId="4" r:id="rId4"/>
    <sheet name="Roles_Permissions" sheetId="5" r:id="rId5"/>
    <sheet name="DB_Schema" sheetId="6" r:id="rId6"/>
    <sheet name="Liquibase_Plan" sheetId="7" r:id="rId7"/>
    <sheet name="Milestones" sheetId="8" r:id="rId8"/>
    <sheet name="Plan" sheetId="9" r:id="rId9"/>
    <sheet name="Prompt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9" l="1"/>
  <c r="G4" i="9" s="1"/>
  <c r="F9" i="8"/>
  <c r="F8" i="8"/>
  <c r="F7" i="8"/>
  <c r="F6" i="8"/>
  <c r="F5" i="8"/>
  <c r="F4" i="8"/>
  <c r="B17" i="2"/>
  <c r="B15" i="2"/>
  <c r="B14" i="2"/>
  <c r="B13" i="2"/>
  <c r="B11" i="2"/>
  <c r="B10" i="2"/>
  <c r="B12" i="2" s="1"/>
  <c r="F5" i="9" l="1"/>
  <c r="G5" i="9" s="1"/>
  <c r="F6" i="9" s="1"/>
  <c r="G6" i="9" s="1"/>
  <c r="F7" i="9" s="1"/>
  <c r="G7" i="9" s="1"/>
  <c r="F8" i="9" s="1"/>
  <c r="G8" i="9" s="1"/>
  <c r="F9" i="9" s="1"/>
  <c r="G9" i="9" s="1"/>
  <c r="F10" i="9" s="1"/>
  <c r="G10" i="9" s="1"/>
  <c r="F11" i="9" s="1"/>
  <c r="G11" i="9" s="1"/>
  <c r="F12" i="9" s="1"/>
  <c r="G12" i="9" s="1"/>
  <c r="F13" i="9" s="1"/>
  <c r="G13" i="9" s="1"/>
  <c r="F14" i="9" s="1"/>
  <c r="G14" i="9" s="1"/>
  <c r="F15" i="9" s="1"/>
  <c r="G15" i="9" s="1"/>
  <c r="F16" i="9" s="1"/>
  <c r="G16" i="9" s="1"/>
  <c r="F17" i="9" s="1"/>
  <c r="G17" i="9" s="1"/>
  <c r="F18" i="9" s="1"/>
  <c r="G18" i="9" s="1"/>
  <c r="F19" i="9" s="1"/>
  <c r="G19" i="9" s="1"/>
  <c r="F20" i="9" s="1"/>
  <c r="G20" i="9" s="1"/>
  <c r="F21" i="9" s="1"/>
  <c r="G21" i="9" s="1"/>
  <c r="F22" i="9" s="1"/>
  <c r="G22" i="9" s="1"/>
  <c r="F23" i="9" s="1"/>
  <c r="G23" i="9" s="1"/>
  <c r="F24" i="9" s="1"/>
  <c r="G24" i="9" s="1"/>
  <c r="F25" i="9" s="1"/>
  <c r="G25" i="9" s="1"/>
  <c r="B16" i="2" l="1"/>
</calcChain>
</file>

<file path=xl/sharedStrings.xml><?xml version="1.0" encoding="utf-8"?>
<sst xmlns="http://schemas.openxmlformats.org/spreadsheetml/2006/main" count="1502" uniqueCount="713">
  <si>
    <t>Not Started</t>
  </si>
  <si>
    <t>Must Have</t>
  </si>
  <si>
    <t>Functional</t>
  </si>
  <si>
    <t>Foundation</t>
  </si>
  <si>
    <t>superadmin</t>
  </si>
  <si>
    <t>In Progress</t>
  </si>
  <si>
    <t>Should Have</t>
  </si>
  <si>
    <t>Non-Functional</t>
  </si>
  <si>
    <t>Core Build</t>
  </si>
  <si>
    <t>admin</t>
  </si>
  <si>
    <t>Blocked</t>
  </si>
  <si>
    <t>Could Have</t>
  </si>
  <si>
    <t>Data</t>
  </si>
  <si>
    <t>Admin &amp; Security</t>
  </si>
  <si>
    <t>manager</t>
  </si>
  <si>
    <t>Done</t>
  </si>
  <si>
    <t>Security</t>
  </si>
  <si>
    <t>Hardening</t>
  </si>
  <si>
    <t>user</t>
  </si>
  <si>
    <t>UX</t>
  </si>
  <si>
    <t>Release</t>
  </si>
  <si>
    <t>Python Desktop Application - SRS and Delivery Plan</t>
  </si>
  <si>
    <t>Prepared For</t>
  </si>
  <si>
    <t>Desktop application with PostgreSQL + Liquibase, authentication, RBAC, and future extensibility</t>
  </si>
  <si>
    <t>Assumed Project Start (editable)</t>
  </si>
  <si>
    <t>Recommended UI Stack</t>
  </si>
  <si>
    <t>PySide6 (Qt for Python) for a professional native desktop UI</t>
  </si>
  <si>
    <t>Migration Strategy</t>
  </si>
  <si>
    <t>Liquibase changelogs managed separately from Python application code</t>
  </si>
  <si>
    <t>Architecture Style</t>
  </si>
  <si>
    <t>Modular layered architecture: presentation, application, domain, infrastructure</t>
  </si>
  <si>
    <t>Project Snapshot</t>
  </si>
  <si>
    <t>Total requirements</t>
  </si>
  <si>
    <t>Functional requirements</t>
  </si>
  <si>
    <t>Non-functional/data/security/ux requirements</t>
  </si>
  <si>
    <t>Total milestones</t>
  </si>
  <si>
    <t>Total planned tasks</t>
  </si>
  <si>
    <t>Total planned effort (days)</t>
  </si>
  <si>
    <t>Projected finish date</t>
  </si>
  <si>
    <t>Total AI prompts prepared</t>
  </si>
  <si>
    <t>How to Use This Workbook</t>
  </si>
  <si>
    <t>•</t>
  </si>
  <si>
    <t>Requirements sheet captures functional and non-functional expectations with acceptance criteria.</t>
  </si>
  <si>
    <t>Roles_Permissions defines the baseline RBAC model and the suggested permission catalog.</t>
  </si>
  <si>
    <t>DB_Schema provides a normalized PostgreSQL schema designed for future feature growth.</t>
  </si>
  <si>
    <t>Liquibase_Plan organizes the initial database migrations and rollback expectations.</t>
  </si>
  <si>
    <t>Milestones and Plan provide a practical implementation roadmap; change the project start on this sheet if needed.</t>
  </si>
  <si>
    <t>Prompts contains copy/paste prompts for incremental development tasks.</t>
  </si>
  <si>
    <t>Software Requirements Specification</t>
  </si>
  <si>
    <t>1. Purpose</t>
  </si>
  <si>
    <t>Build a maintainable desktop application in Python with a professional user interface, PostgreSQL persistence, Liquibase-based schema versioning, secure login using username or mobile number with password, and a configurable role-based access control model.</t>
  </si>
  <si>
    <t>2. In Scope</t>
  </si>
  <si>
    <t>Authentication, user administration, role and permission management, normalized database design, auditability, future-ready modular architecture, and planning for incremental delivery.</t>
  </si>
  <si>
    <t>3. Out of Scope (initial release)</t>
  </si>
  <si>
    <t>Advanced SSO, biometric login, multi-tenant isolation, external identity providers, fine-grained field masking, reporting warehouse, and mobile app support.</t>
  </si>
  <si>
    <t>4. Primary Actors</t>
  </si>
  <si>
    <t>Superadmin, Admin, Manager, End User, Support/Operations.</t>
  </si>
  <si>
    <t>5. Business Goals</t>
  </si>
  <si>
    <t>Secure application access, delegated administration, controlled feature access through RBAC, easy future extension, and a polished desktop user experience.</t>
  </si>
  <si>
    <t>6. Recommended Technical Stack</t>
  </si>
  <si>
    <t>UI: PySide6. Backend/application layer: Python 3.11+ service modules. ORM/data access: SQLAlchemy 2.x. Database: PostgreSQL 15+. Migrations: Liquibase XML/YAML/SQL changelogs. Packaging: PyInstaller or Briefcase.</t>
  </si>
  <si>
    <t>7. Security Expectations</t>
  </si>
  <si>
    <t>Passwords stored as strong salted hashes (Argon2id or bcrypt), account lockout policy, password change tracking, audit logging, and secure secret handling outside source control.</t>
  </si>
  <si>
    <t>8. Extensibility Expectations</t>
  </si>
  <si>
    <t>Use modular packages, configuration-driven permissions, additive Liquibase changesets, and service interfaces so new modules can be plugged in later without redesigning the core schema.</t>
  </si>
  <si>
    <t>9. Usability Expectations</t>
  </si>
  <si>
    <t>Responsive forms, clear error messages, keyboard-friendly data entry, role-aware navigation, and consistent visual styling across screens.</t>
  </si>
  <si>
    <t>10. Success Criteria</t>
  </si>
  <si>
    <t>Users can authenticate by username or mobile, admins can create/update roles and permissions, permissions are enforced in the UI and backend, schema is migration-controlled, and the codebase can accommodate new business modules.</t>
  </si>
  <si>
    <t>Suggested Application Modules</t>
  </si>
  <si>
    <t>Module</t>
  </si>
  <si>
    <t>Responsibility</t>
  </si>
  <si>
    <t>Presentation</t>
  </si>
  <si>
    <t>Desktop screens, dialogs, forms, dashboards, validation feedback</t>
  </si>
  <si>
    <t>Application</t>
  </si>
  <si>
    <t>Use cases, workflows, RBAC checks, orchestration services</t>
  </si>
  <si>
    <t>Domain</t>
  </si>
  <si>
    <t>User, Role, Permission, Audit, Session, Settings rules</t>
  </si>
  <si>
    <t>Infrastructure</t>
  </si>
  <si>
    <t>PostgreSQL repositories, Liquibase execution, logging, packaging</t>
  </si>
  <si>
    <t>Password hashing, lockout, session lifecycle, permission guards</t>
  </si>
  <si>
    <t>Administration</t>
  </si>
  <si>
    <t>User management, role management, permission catalog management</t>
  </si>
  <si>
    <t>Requirements Register</t>
  </si>
  <si>
    <t>Req ID</t>
  </si>
  <si>
    <t>Type</t>
  </si>
  <si>
    <t>Requirement</t>
  </si>
  <si>
    <t>Acceptance Criteria</t>
  </si>
  <si>
    <t>Priority</t>
  </si>
  <si>
    <t>Phase</t>
  </si>
  <si>
    <t>Notes</t>
  </si>
  <si>
    <t>FR-01</t>
  </si>
  <si>
    <t>Authentication</t>
  </si>
  <si>
    <t>User can log in with either username or registered mobile number plus password.</t>
  </si>
  <si>
    <t>Login succeeds when valid identifier/password pair is provided; invalid attempts show safe error message.</t>
  </si>
  <si>
    <t>Support multiple identifier types through normalized login_identifiers table.</t>
  </si>
  <si>
    <t>FR-02</t>
  </si>
  <si>
    <t>System must validate account status before login.</t>
  </si>
  <si>
    <t>Inactive, locked, or disabled accounts cannot access the application.</t>
  </si>
  <si>
    <t>Supports security control and admin actions.</t>
  </si>
  <si>
    <t>FR-03</t>
  </si>
  <si>
    <t>Passwords must be stored as salted secure hashes.</t>
  </si>
  <si>
    <t>No plain-text password is stored anywhere in database or logs.</t>
  </si>
  <si>
    <t>Use Argon2id or bcrypt.</t>
  </si>
  <si>
    <t>FR-04</t>
  </si>
  <si>
    <t>Authorization</t>
  </si>
  <si>
    <t>System must support configurable roles such as superadmin, admin, manager, and user.</t>
  </si>
  <si>
    <t>Default roles exist at setup and can be assigned to users.</t>
  </si>
  <si>
    <t>Roles should be data-driven.</t>
  </si>
  <si>
    <t>FR-05</t>
  </si>
  <si>
    <t>Permissions must be assignable to roles and enforced by the application.</t>
  </si>
  <si>
    <t>Access to screens/actions is blocked when required permission is missing.</t>
  </si>
  <si>
    <t>RBAC must be checked in UI and service layer.</t>
  </si>
  <si>
    <t>FR-06</t>
  </si>
  <si>
    <t>Authorized admins can create, update, activate, and deactivate users.</t>
  </si>
  <si>
    <t>Changes are persisted and visible in user management screens.</t>
  </si>
  <si>
    <t>Soft delete preferred for auditability.</t>
  </si>
  <si>
    <t>FR-07</t>
  </si>
  <si>
    <t>Authorized admins can create, update, activate, and deactivate roles.</t>
  </si>
  <si>
    <t>Role changes are reflected immediately in access rules after assignment.</t>
  </si>
  <si>
    <t>Protect system roles from unsafe deletion.</t>
  </si>
  <si>
    <t>FR-08</t>
  </si>
  <si>
    <t>Authorized admins can create and modify permission definitions.</t>
  </si>
  <si>
    <t>New permissions can be added without changing core user table structure.</t>
  </si>
  <si>
    <t>Catalog management may be admin-only.</t>
  </si>
  <si>
    <t>FR-09</t>
  </si>
  <si>
    <t>Authorized admins can map permissions to roles.</t>
  </si>
  <si>
    <t>Role-permission assignments can be added or removed through UI.</t>
  </si>
  <si>
    <t>Store in role_permissions junction table.</t>
  </si>
  <si>
    <t>FR-10</t>
  </si>
  <si>
    <t>Authorized admins can assign multiple roles to a single user.</t>
  </si>
  <si>
    <t>A user can inherit permissions from all assigned active roles.</t>
  </si>
  <si>
    <t>Many-to-many user_roles table.</t>
  </si>
  <si>
    <t>FR-11</t>
  </si>
  <si>
    <t>Audit</t>
  </si>
  <si>
    <t>System must record key administrative and authentication events.</t>
  </si>
  <si>
    <t>Login success/failure, user changes, role changes, and permission changes are logged.</t>
  </si>
  <si>
    <t>Store summary and before/after JSON where appropriate.</t>
  </si>
  <si>
    <t>FR-12</t>
  </si>
  <si>
    <t>System should lock the account temporarily after repeated failed logins.</t>
  </si>
  <si>
    <t>Lockout threshold and duration are configurable.</t>
  </si>
  <si>
    <t>Configuration-driven control.</t>
  </si>
  <si>
    <t>FR-13</t>
  </si>
  <si>
    <t>Session</t>
  </si>
  <si>
    <t>System should maintain application session metadata.</t>
  </si>
  <si>
    <t>Last login time and current active session details can be tracked.</t>
  </si>
  <si>
    <t>Useful for audit and support.</t>
  </si>
  <si>
    <t>FR-14</t>
  </si>
  <si>
    <t>Configuration</t>
  </si>
  <si>
    <t>System should support application settings for future modules.</t>
  </si>
  <si>
    <t>Config values can be stored and managed without schema redesign.</t>
  </si>
  <si>
    <t>Use key-value or scoped settings table.</t>
  </si>
  <si>
    <t>NFR-01</t>
  </si>
  <si>
    <t>Usability</t>
  </si>
  <si>
    <t>Application UI must feel professional, consistent, and easy to navigate.</t>
  </si>
  <si>
    <t>Users can access primary actions within three clicks; forms show clear labels and feedback.</t>
  </si>
  <si>
    <t>Use consistent theme and layout.</t>
  </si>
  <si>
    <t>NFR-02</t>
  </si>
  <si>
    <t>Performance</t>
  </si>
  <si>
    <t>Common screens should load within acceptable desktop-app response time.</t>
  </si>
  <si>
    <t>Login and standard CRUD screens respond within 2 seconds under normal load.</t>
  </si>
  <si>
    <t>Performance target should be validated.</t>
  </si>
  <si>
    <t>NFR-03</t>
  </si>
  <si>
    <t>Sensitive data must be protected in transit and at rest where applicable.</t>
  </si>
  <si>
    <t>Database credentials stored securely; password hashes and audit controls implemented.</t>
  </si>
  <si>
    <t>No secrets in source control.</t>
  </si>
  <si>
    <t>NFR-04</t>
  </si>
  <si>
    <t>Maintainability</t>
  </si>
  <si>
    <t>Codebase must be modular so new features can be added later.</t>
  </si>
  <si>
    <t>New feature module can be added without modifying unrelated core modules.</t>
  </si>
  <si>
    <t>Layered architecture and clear contracts.</t>
  </si>
  <si>
    <t>NFR-05</t>
  </si>
  <si>
    <t>Database</t>
  </si>
  <si>
    <t>Database schema must be normalized and migration-controlled.</t>
  </si>
  <si>
    <t>Schema changes are introduced only through Liquibase changesets.</t>
  </si>
  <si>
    <t>Target 3NF for master/transaction data.</t>
  </si>
  <si>
    <t>NFR-06</t>
  </si>
  <si>
    <t>Reliability</t>
  </si>
  <si>
    <t>Application should recover gracefully from database and validation errors.</t>
  </si>
  <si>
    <t>User sees actionable message; app remains stable; exception is logged.</t>
  </si>
  <si>
    <t>Standardized exception handling.</t>
  </si>
  <si>
    <t>NFR-07</t>
  </si>
  <si>
    <t>Accessibility</t>
  </si>
  <si>
    <t>Forms and navigation should support keyboard usage and readable typography.</t>
  </si>
  <si>
    <t>Primary workflows can be executed with keyboard-only navigation.</t>
  </si>
  <si>
    <t>Improves desktop productivity.</t>
  </si>
  <si>
    <t>RBAC Model - Roles and Permissions</t>
  </si>
  <si>
    <t>Default Roles</t>
  </si>
  <si>
    <t>Role</t>
  </si>
  <si>
    <t>Purpose</t>
  </si>
  <si>
    <t>Can Manage Users</t>
  </si>
  <si>
    <t>Can Manage Roles/Permissions</t>
  </si>
  <si>
    <t>Full system administration and recovery actions</t>
  </si>
  <si>
    <t>Yes</t>
  </si>
  <si>
    <t>System-level role; should be protected from accidental deactivation.</t>
  </si>
  <si>
    <t>Operational administration and day-to-day configuration</t>
  </si>
  <si>
    <t>Can manage users and business roles under policy.</t>
  </si>
  <si>
    <t>Business supervision with limited administrative rights</t>
  </si>
  <si>
    <t>Limited</t>
  </si>
  <si>
    <t>No</t>
  </si>
  <si>
    <t>Typically manages business operations and approvals.</t>
  </si>
  <si>
    <t>Standard application user</t>
  </si>
  <si>
    <t>Access only to assigned business functions.</t>
  </si>
  <si>
    <t>Suggested Permission Catalog and Default Assignment</t>
  </si>
  <si>
    <t>Permission Code</t>
  </si>
  <si>
    <t>Business Meaning</t>
  </si>
  <si>
    <t>auth.login</t>
  </si>
  <si>
    <t>Access application login flow</t>
  </si>
  <si>
    <t>Y</t>
  </si>
  <si>
    <t>Granted to all active users.</t>
  </si>
  <si>
    <t>user.view</t>
  </si>
  <si>
    <t>View user list and profile details</t>
  </si>
  <si>
    <t>N</t>
  </si>
  <si>
    <t>Admin area visibility.</t>
  </si>
  <si>
    <t>user.create</t>
  </si>
  <si>
    <t>Create a user account</t>
  </si>
  <si>
    <t>Create flow.</t>
  </si>
  <si>
    <t>user.update</t>
  </si>
  <si>
    <t>Edit user account profile/status</t>
  </si>
  <si>
    <t>Includes activation/deactivation.</t>
  </si>
  <si>
    <t>user.assignRoles</t>
  </si>
  <si>
    <t>Assign roles to users</t>
  </si>
  <si>
    <t>Critical RBAC control.</t>
  </si>
  <si>
    <t>role.view</t>
  </si>
  <si>
    <t>View roles and mappings</t>
  </si>
  <si>
    <t>Role catalog read.</t>
  </si>
  <si>
    <t>role.create</t>
  </si>
  <si>
    <t>Create a role</t>
  </si>
  <si>
    <t>Data-driven role management.</t>
  </si>
  <si>
    <t>role.update</t>
  </si>
  <si>
    <t>Modify role definition</t>
  </si>
  <si>
    <t>Should block unsafe system-role changes.</t>
  </si>
  <si>
    <t>role.delete</t>
  </si>
  <si>
    <t>Deactivate or remove a non-system role</t>
  </si>
  <si>
    <t>Prefer deactivate over hard delete.</t>
  </si>
  <si>
    <t>permission.view</t>
  </si>
  <si>
    <t>View permission catalog</t>
  </si>
  <si>
    <t>Supports audits.</t>
  </si>
  <si>
    <t>permission.create</t>
  </si>
  <si>
    <t>Create permission definitions</t>
  </si>
  <si>
    <t>Often reserved for higher admins.</t>
  </si>
  <si>
    <t>permission.update</t>
  </si>
  <si>
    <t>Update permission definitions</t>
  </si>
  <si>
    <t>Careful change control needed.</t>
  </si>
  <si>
    <t>rolePermission.manage</t>
  </si>
  <si>
    <t>Map permissions to roles</t>
  </si>
  <si>
    <t>Central RBAC operation.</t>
  </si>
  <si>
    <t>audit.view</t>
  </si>
  <si>
    <t>Review audit logs</t>
  </si>
  <si>
    <t>Visibility may be scoped by policy.</t>
  </si>
  <si>
    <t>settings.manage</t>
  </si>
  <si>
    <t>Manage application settings</t>
  </si>
  <si>
    <t>Useful for future features.</t>
  </si>
  <si>
    <t>Normalized PostgreSQL Schema (3NF-oriented)</t>
  </si>
  <si>
    <t>Table</t>
  </si>
  <si>
    <t>Column</t>
  </si>
  <si>
    <t>Data Type</t>
  </si>
  <si>
    <t>PK</t>
  </si>
  <si>
    <t>FK</t>
  </si>
  <si>
    <t>Unique</t>
  </si>
  <si>
    <t>Null?</t>
  </si>
  <si>
    <t>Default</t>
  </si>
  <si>
    <t>Purpose / Rule</t>
  </si>
  <si>
    <t>Relationship Notes</t>
  </si>
  <si>
    <t>users</t>
  </si>
  <si>
    <t>user_id</t>
  </si>
  <si>
    <t>BIGSERIAL</t>
  </si>
  <si>
    <t/>
  </si>
  <si>
    <t>Surrogate primary key</t>
  </si>
  <si>
    <t>Parent table for identities, roles, audit</t>
  </si>
  <si>
    <t>first_name</t>
  </si>
  <si>
    <t>VARCHAR(100)</t>
  </si>
  <si>
    <t>User given name</t>
  </si>
  <si>
    <t>last_name</t>
  </si>
  <si>
    <t>User family name</t>
  </si>
  <si>
    <t>display_name</t>
  </si>
  <si>
    <t>VARCHAR(150)</t>
  </si>
  <si>
    <t>Friendly UI name</t>
  </si>
  <si>
    <t>status</t>
  </si>
  <si>
    <t>VARCHAR(20)</t>
  </si>
  <si>
    <t>'ACTIVE'</t>
  </si>
  <si>
    <t>ACTIVE/INACTIVE/LOCKED</t>
  </si>
  <si>
    <t>created_at</t>
  </si>
  <si>
    <t>TIMESTAMP</t>
  </si>
  <si>
    <t>now()</t>
  </si>
  <si>
    <t>Audit timestamp</t>
  </si>
  <si>
    <t>updated_at</t>
  </si>
  <si>
    <t>login_identifiers</t>
  </si>
  <si>
    <t>identifier_id</t>
  </si>
  <si>
    <t>PK for login identifiers</t>
  </si>
  <si>
    <t>Child of users (1-to-many)</t>
  </si>
  <si>
    <t>BIGINT</t>
  </si>
  <si>
    <t>users.user_id</t>
  </si>
  <si>
    <t>Owner user</t>
  </si>
  <si>
    <t>Many identifiers per user</t>
  </si>
  <si>
    <t>identifier_type</t>
  </si>
  <si>
    <t>USERNAME / MOBILE</t>
  </si>
  <si>
    <t>identifier_value</t>
  </si>
  <si>
    <t>Original value entered by admin/user</t>
  </si>
  <si>
    <t>normalized_value</t>
  </si>
  <si>
    <t>Case/format normalized lookup value</t>
  </si>
  <si>
    <t>Unique login key across system</t>
  </si>
  <si>
    <t>is_primary</t>
  </si>
  <si>
    <t>BOOLEAN</t>
  </si>
  <si>
    <t>false</t>
  </si>
  <si>
    <t>Preferred login/display identifier</t>
  </si>
  <si>
    <t>is_verified</t>
  </si>
  <si>
    <t>Supports future OTP/verification flows</t>
  </si>
  <si>
    <t>auth_credentials</t>
  </si>
  <si>
    <t>credential_id</t>
  </si>
  <si>
    <t>PK for auth record</t>
  </si>
  <si>
    <t>1-to-1 with users</t>
  </si>
  <si>
    <t>One credential record per user</t>
  </si>
  <si>
    <t>password_hash</t>
  </si>
  <si>
    <t>VARCHAR(255)</t>
  </si>
  <si>
    <t>Salted password hash only</t>
  </si>
  <si>
    <t>password_algo</t>
  </si>
  <si>
    <t>VARCHAR(30)</t>
  </si>
  <si>
    <t>'argon2id'</t>
  </si>
  <si>
    <t>Hash algorithm marker</t>
  </si>
  <si>
    <t>password_changed_at</t>
  </si>
  <si>
    <t>Password lifecycle audit</t>
  </si>
  <si>
    <t>failed_attempt_count</t>
  </si>
  <si>
    <t>INT</t>
  </si>
  <si>
    <t>0</t>
  </si>
  <si>
    <t>Support lockout logic</t>
  </si>
  <si>
    <t>locked_until</t>
  </si>
  <si>
    <t>Temporary lock expiration</t>
  </si>
  <si>
    <t>last_login_at</t>
  </si>
  <si>
    <t>User last successful login</t>
  </si>
  <si>
    <t>roles</t>
  </si>
  <si>
    <t>role_id</t>
  </si>
  <si>
    <t>PK for roles</t>
  </si>
  <si>
    <t>Parent table for user_roles and role_permissions</t>
  </si>
  <si>
    <t>role_code</t>
  </si>
  <si>
    <t>VARCHAR(50)</t>
  </si>
  <si>
    <t>Stable code, e.g. ADMIN</t>
  </si>
  <si>
    <t>role_name</t>
  </si>
  <si>
    <t>Display label</t>
  </si>
  <si>
    <t>description</t>
  </si>
  <si>
    <t>TEXT</t>
  </si>
  <si>
    <t>Business meaning</t>
  </si>
  <si>
    <t>is_system_role</t>
  </si>
  <si>
    <t>Protect built-in roles</t>
  </si>
  <si>
    <t>is_active</t>
  </si>
  <si>
    <t>true</t>
  </si>
  <si>
    <t>Soft lifecycle</t>
  </si>
  <si>
    <t>permissions</t>
  </si>
  <si>
    <t>permission_id</t>
  </si>
  <si>
    <t>PK for permissions</t>
  </si>
  <si>
    <t>Parent for role_permissions</t>
  </si>
  <si>
    <t>permission_code</t>
  </si>
  <si>
    <t>Stable code, e.g. user.create</t>
  </si>
  <si>
    <t>module_name</t>
  </si>
  <si>
    <t>Functional grouping</t>
  </si>
  <si>
    <t>action_name</t>
  </si>
  <si>
    <t>View/Create/Update/Delete/etc.</t>
  </si>
  <si>
    <t>user_roles</t>
  </si>
  <si>
    <t>user_role_id</t>
  </si>
  <si>
    <t>Surrogate PK</t>
  </si>
  <si>
    <t>Junction table users ↔ roles</t>
  </si>
  <si>
    <t>Assigned user</t>
  </si>
  <si>
    <t>roles.role_id</t>
  </si>
  <si>
    <t>Assigned role</t>
  </si>
  <si>
    <t>assigned_by</t>
  </si>
  <si>
    <t>Admin who assigned role</t>
  </si>
  <si>
    <t>assigned_at</t>
  </si>
  <si>
    <t>Assignment timestamp</t>
  </si>
  <si>
    <t>Supports historical role mapping</t>
  </si>
  <si>
    <t>Unique(user_id, role_id, is_active) by policy</t>
  </si>
  <si>
    <t>role_permissions</t>
  </si>
  <si>
    <t>role_permission_id</t>
  </si>
  <si>
    <t>Junction table roles ↔ permissions</t>
  </si>
  <si>
    <t>Role owner</t>
  </si>
  <si>
    <t>permissions.permission_id</t>
  </si>
  <si>
    <t>Permission granted</t>
  </si>
  <si>
    <t>granted_at</t>
  </si>
  <si>
    <t>granted_by</t>
  </si>
  <si>
    <t>Admin who granted permission</t>
  </si>
  <si>
    <t>Unique(role_id, permission_id)</t>
  </si>
  <si>
    <t>user_sessions</t>
  </si>
  <si>
    <t>session_id</t>
  </si>
  <si>
    <t>UUID</t>
  </si>
  <si>
    <t>Track active desktop sessions</t>
  </si>
  <si>
    <t>Session owner</t>
  </si>
  <si>
    <t>login_at</t>
  </si>
  <si>
    <t>Session start</t>
  </si>
  <si>
    <t>logout_at</t>
  </si>
  <si>
    <t>Session end</t>
  </si>
  <si>
    <t>client_info</t>
  </si>
  <si>
    <t>Machine/app metadata</t>
  </si>
  <si>
    <t>Current session flag</t>
  </si>
  <si>
    <t>audit_logs</t>
  </si>
  <si>
    <t>audit_id</t>
  </si>
  <si>
    <t>PK for audit events</t>
  </si>
  <si>
    <t>Child of users (many-to-one actor)</t>
  </si>
  <si>
    <t>actor_user_id</t>
  </si>
  <si>
    <t>User causing change/event</t>
  </si>
  <si>
    <t>event_type</t>
  </si>
  <si>
    <t>LOGIN_SUCCESS, ROLE_UPDATED, etc.</t>
  </si>
  <si>
    <t>entity_name</t>
  </si>
  <si>
    <t>Affected entity/table concept</t>
  </si>
  <si>
    <t>entity_id</t>
  </si>
  <si>
    <t>Affected record identifier</t>
  </si>
  <si>
    <t>before_state_json</t>
  </si>
  <si>
    <t>JSONB</t>
  </si>
  <si>
    <t>Before snapshot</t>
  </si>
  <si>
    <t>after_state_json</t>
  </si>
  <si>
    <t>After snapshot</t>
  </si>
  <si>
    <t>Event time</t>
  </si>
  <si>
    <t>app_settings</t>
  </si>
  <si>
    <t>setting_id</t>
  </si>
  <si>
    <t>PK for app settings</t>
  </si>
  <si>
    <t>Supports future features</t>
  </si>
  <si>
    <t>setting_key</t>
  </si>
  <si>
    <t>Unique config key</t>
  </si>
  <si>
    <t>setting_value</t>
  </si>
  <si>
    <t>Stored value</t>
  </si>
  <si>
    <t>scope</t>
  </si>
  <si>
    <t>'GLOBAL'</t>
  </si>
  <si>
    <t>GLOBAL/ROLE/USER</t>
  </si>
  <si>
    <t>scope_ref_id</t>
  </si>
  <si>
    <t>Optional scope target</t>
  </si>
  <si>
    <t>Relationship Summary</t>
  </si>
  <si>
    <t>Relationship</t>
  </si>
  <si>
    <t>Cardinality</t>
  </si>
  <si>
    <t>Why It Exists</t>
  </si>
  <si>
    <t>Design Note</t>
  </si>
  <si>
    <t>users -&gt; login_identifiers</t>
  </si>
  <si>
    <t>1 : many</t>
  </si>
  <si>
    <t>Supports login by username, mobile, and future identifiers</t>
  </si>
  <si>
    <t>Enforce uniqueness on normalized_value.</t>
  </si>
  <si>
    <t>users -&gt; auth_credentials</t>
  </si>
  <si>
    <t>1 : 1</t>
  </si>
  <si>
    <t>Separates identity from credential storage</t>
  </si>
  <si>
    <t>Keeps auth concerns isolated.</t>
  </si>
  <si>
    <t>users -&gt; user_roles</t>
  </si>
  <si>
    <t>Allows one user to hold multiple roles</t>
  </si>
  <si>
    <t>Supports composite access.</t>
  </si>
  <si>
    <t>roles -&gt; user_roles</t>
  </si>
  <si>
    <t>Maps reusable roles to many users</t>
  </si>
  <si>
    <t>RBAC core.</t>
  </si>
  <si>
    <t>roles -&gt; role_permissions</t>
  </si>
  <si>
    <t>Assigns many permissions to a role</t>
  </si>
  <si>
    <t>Data-driven authorization.</t>
  </si>
  <si>
    <t>permissions -&gt; role_permissions</t>
  </si>
  <si>
    <t>Each permission can be reused by many roles</t>
  </si>
  <si>
    <t>Avoids duplicated permission definitions.</t>
  </si>
  <si>
    <t>users -&gt; audit_logs</t>
  </si>
  <si>
    <t>Tracks who performed an action</t>
  </si>
  <si>
    <t>Critical for traceability.</t>
  </si>
  <si>
    <t>Liquibase Migration Plan</t>
  </si>
  <si>
    <t>Order</t>
  </si>
  <si>
    <t>ChangeSet ID</t>
  </si>
  <si>
    <t>Change Type</t>
  </si>
  <si>
    <t>Objects</t>
  </si>
  <si>
    <t>Rollback Strategy</t>
  </si>
  <si>
    <t>001-create-core-users</t>
  </si>
  <si>
    <t>createTable</t>
  </si>
  <si>
    <t>Create base user master table</t>
  </si>
  <si>
    <t>dropTable users</t>
  </si>
  <si>
    <t>Establishes identity root.</t>
  </si>
  <si>
    <t>002-create-login-identifiers</t>
  </si>
  <si>
    <t>Support username/mobile login identifiers</t>
  </si>
  <si>
    <t>dropTable login_identifiers</t>
  </si>
  <si>
    <t>Add unique index on normalized_value.</t>
  </si>
  <si>
    <t>003-create-auth-credentials</t>
  </si>
  <si>
    <t>Store password hash and lockout metadata</t>
  </si>
  <si>
    <t>dropTable auth_credentials</t>
  </si>
  <si>
    <t>Separate credentials from profile.</t>
  </si>
  <si>
    <t>004-create-roles</t>
  </si>
  <si>
    <t>createTable + loadData</t>
  </si>
  <si>
    <t>Create role master and seed default roles</t>
  </si>
  <si>
    <t>delete seed rows / dropTable</t>
  </si>
  <si>
    <t>Seed superadmin, admin, manager, user.</t>
  </si>
  <si>
    <t>005-create-permissions</t>
  </si>
  <si>
    <t>Create permission catalog and seed baseline permissions</t>
  </si>
  <si>
    <t>Seed only core permissions first.</t>
  </si>
  <si>
    <t>006-create-user-roles</t>
  </si>
  <si>
    <t>Map users to roles</t>
  </si>
  <si>
    <t>dropTable user_roles</t>
  </si>
  <si>
    <t>Add unique composite rule.</t>
  </si>
  <si>
    <t>007-create-role-permissions</t>
  </si>
  <si>
    <t>Map roles to permissions</t>
  </si>
  <si>
    <t>dropTable role_permissions</t>
  </si>
  <si>
    <t>Central RBAC mapping.</t>
  </si>
  <si>
    <t>008-create-user-sessions</t>
  </si>
  <si>
    <t>Track login sessions</t>
  </si>
  <si>
    <t>dropTable user_sessions</t>
  </si>
  <si>
    <t>Optional in first release; can still be included.</t>
  </si>
  <si>
    <t>009-create-audit-logs</t>
  </si>
  <si>
    <t>Track security and admin events</t>
  </si>
  <si>
    <t>dropTable audit_logs</t>
  </si>
  <si>
    <t>Use JSONB snapshots for before/after.</t>
  </si>
  <si>
    <t>010-create-app-settings</t>
  </si>
  <si>
    <t>Store future-ready config items</t>
  </si>
  <si>
    <t>dropTable app_settings</t>
  </si>
  <si>
    <t>Supports extensibility without redesign.</t>
  </si>
  <si>
    <t>011-add-indexes</t>
  </si>
  <si>
    <t>createIndex</t>
  </si>
  <si>
    <t>login_identifiers, user_roles, role_permissions, audit_logs</t>
  </si>
  <si>
    <t>Improve lookup and enforcement performance</t>
  </si>
  <si>
    <t>dropIndex</t>
  </si>
  <si>
    <t>Index normalized_value and FK columns.</t>
  </si>
  <si>
    <t>012-add-constraints</t>
  </si>
  <si>
    <t>addForeignKeyConstraint / addUniqueConstraint</t>
  </si>
  <si>
    <t>core RBAC tables</t>
  </si>
  <si>
    <t>Enforce relational integrity</t>
  </si>
  <si>
    <t>drop constraints</t>
  </si>
  <si>
    <t>Keep schema consistent across environments.</t>
  </si>
  <si>
    <t>Milestones</t>
  </si>
  <si>
    <t>Milestone ID</t>
  </si>
  <si>
    <t>Milestone</t>
  </si>
  <si>
    <t>Goal</t>
  </si>
  <si>
    <t>Start Date</t>
  </si>
  <si>
    <t>Duration (days)</t>
  </si>
  <si>
    <t>End Date</t>
  </si>
  <si>
    <t>Exit Criteria</t>
  </si>
  <si>
    <t>M1</t>
  </si>
  <si>
    <t>Foundation &amp; Architecture</t>
  </si>
  <si>
    <t>Finalize stack, project structure, security baseline, and schema design</t>
  </si>
  <si>
    <t>Architecture approved; schema and SRS signed off.</t>
  </si>
  <si>
    <t>M2</t>
  </si>
  <si>
    <t>Database &amp; Migration Baseline</t>
  </si>
  <si>
    <t>Implement PostgreSQL schema and Liquibase changelogs</t>
  </si>
  <si>
    <t>Liquibase baseline runs clean on local and test DB.</t>
  </si>
  <si>
    <t>M3</t>
  </si>
  <si>
    <t>Authentication Module</t>
  </si>
  <si>
    <t>Deliver login with username/mobile and secure credential flow</t>
  </si>
  <si>
    <t>Login flow works with validation and lockout basics.</t>
  </si>
  <si>
    <t>M4</t>
  </si>
  <si>
    <t>RBAC &amp; Admin Module</t>
  </si>
  <si>
    <t>Deliver role, permission, and user-role management</t>
  </si>
  <si>
    <t>Admins can manage roles/permissions and user assignments.</t>
  </si>
  <si>
    <t>M5</t>
  </si>
  <si>
    <t>Audit, Hardening &amp; UX Polish</t>
  </si>
  <si>
    <t>Add audit trail, error handling, and UI polish</t>
  </si>
  <si>
    <t>Audit log and user-friendly validation are completed.</t>
  </si>
  <si>
    <t>M6</t>
  </si>
  <si>
    <t>Testing, Packaging &amp; Release Prep</t>
  </si>
  <si>
    <t>Stabilize, test, package, and document the release</t>
  </si>
  <si>
    <t>Acceptance tests passed and desktop package generated.</t>
  </si>
  <si>
    <t>Detailed Implementation Plan</t>
  </si>
  <si>
    <t>Task ID</t>
  </si>
  <si>
    <t>Task</t>
  </si>
  <si>
    <t>Effort (days)</t>
  </si>
  <si>
    <t>Owner</t>
  </si>
  <si>
    <t>Planned Start</t>
  </si>
  <si>
    <t>Planned End</t>
  </si>
  <si>
    <t>Dependency</t>
  </si>
  <si>
    <t>Deliverable</t>
  </si>
  <si>
    <t>Status</t>
  </si>
  <si>
    <t>T01</t>
  </si>
  <si>
    <t>Finalize architecture, stack, coding standards, and repository layout</t>
  </si>
  <si>
    <t>Architect</t>
  </si>
  <si>
    <t>-</t>
  </si>
  <si>
    <t>Approved architecture note</t>
  </si>
  <si>
    <t>T02</t>
  </si>
  <si>
    <t>Prepare SRS, screen list, and data flow decisions</t>
  </si>
  <si>
    <t>BA/Architect</t>
  </si>
  <si>
    <t>Approved SRS and flow summary</t>
  </si>
  <si>
    <t>T03</t>
  </si>
  <si>
    <t>Design normalized PostgreSQL schema and RBAC model</t>
  </si>
  <si>
    <t>DB Engineer</t>
  </si>
  <si>
    <t>Reviewed ERD/schema specification</t>
  </si>
  <si>
    <t>T04</t>
  </si>
  <si>
    <t>Set up project scaffold with modular folders and environment config</t>
  </si>
  <si>
    <t>Python Dev</t>
  </si>
  <si>
    <t>Working starter project</t>
  </si>
  <si>
    <t>T05</t>
  </si>
  <si>
    <t>Create Liquibase master changelog and baseline changesets</t>
  </si>
  <si>
    <t>Baseline changelog files</t>
  </si>
  <si>
    <t>T06</t>
  </si>
  <si>
    <t>Provision PostgreSQL local/test environments and validate migrations</t>
  </si>
  <si>
    <t>DevOps/DBA</t>
  </si>
  <si>
    <t>Database bootstrap script</t>
  </si>
  <si>
    <t>T07</t>
  </si>
  <si>
    <t>Implement ORM models and repository interfaces</t>
  </si>
  <si>
    <t>Data access layer</t>
  </si>
  <si>
    <t>T08</t>
  </si>
  <si>
    <t>Build login screen with username/mobile identifier input</t>
  </si>
  <si>
    <t>UI Dev</t>
  </si>
  <si>
    <t>Desktop login UI</t>
  </si>
  <si>
    <t>T09</t>
  </si>
  <si>
    <t>Implement authentication service and password verification</t>
  </si>
  <si>
    <t>Auth service</t>
  </si>
  <si>
    <t>T10</t>
  </si>
  <si>
    <t>Add lockout, failed-attempt tracking, and secure session start</t>
  </si>
  <si>
    <t>Security controls</t>
  </si>
  <si>
    <t>T11</t>
  </si>
  <si>
    <t>Wire login UI to backend and database</t>
  </si>
  <si>
    <t>Full-stack Dev</t>
  </si>
  <si>
    <t>T08,T09</t>
  </si>
  <si>
    <t>End-to-end login flow</t>
  </si>
  <si>
    <t>T12</t>
  </si>
  <si>
    <t>Create user management screens and CRUD workflows</t>
  </si>
  <si>
    <t>UI/Backend Dev</t>
  </si>
  <si>
    <t>User administration feature</t>
  </si>
  <si>
    <t>T13</t>
  </si>
  <si>
    <t>Create role management screens and service layer</t>
  </si>
  <si>
    <t>Role administration feature</t>
  </si>
  <si>
    <t>T14</t>
  </si>
  <si>
    <t>Create permission catalog and role-permission mapping workflows</t>
  </si>
  <si>
    <t>Permission administration feature</t>
  </si>
  <si>
    <t>T15</t>
  </si>
  <si>
    <t>Implement RBAC guards in navigation, screens, and services</t>
  </si>
  <si>
    <t>T12,T13,T14</t>
  </si>
  <si>
    <t>Permission enforcement layer</t>
  </si>
  <si>
    <t>T16</t>
  </si>
  <si>
    <t>Implement audit logging for login and admin actions</t>
  </si>
  <si>
    <t>T11,T15</t>
  </si>
  <si>
    <t>Audit service and DB writes</t>
  </si>
  <si>
    <t>T17</t>
  </si>
  <si>
    <t>Refine validation messages, empty states, and desktop UX polish</t>
  </si>
  <si>
    <t>Improved usability</t>
  </si>
  <si>
    <t>T18</t>
  </si>
  <si>
    <t>Add centralized exception handling and logging</t>
  </si>
  <si>
    <t>Stability layer</t>
  </si>
  <si>
    <t>T19</t>
  </si>
  <si>
    <t>Prepare future-extension hooks: settings, module registry, service interfaces</t>
  </si>
  <si>
    <t>Architect/Dev</t>
  </si>
  <si>
    <t>Extensibility baseline</t>
  </si>
  <si>
    <t>T20</t>
  </si>
  <si>
    <t>Create unit/integration test suite for auth and RBAC</t>
  </si>
  <si>
    <t>QA/Dev</t>
  </si>
  <si>
    <t>Automated tests</t>
  </si>
  <si>
    <t>T21</t>
  </si>
  <si>
    <t>Package desktop app and validate deployment checklist</t>
  </si>
  <si>
    <t>Release Eng</t>
  </si>
  <si>
    <t>Installable desktop build</t>
  </si>
  <si>
    <t>T22</t>
  </si>
  <si>
    <t>Prepare handover guide, admin manual, and release notes</t>
  </si>
  <si>
    <t>BA/QA</t>
  </si>
  <si>
    <t>Release documentation</t>
  </si>
  <si>
    <t>Incremental Development Prompts</t>
  </si>
  <si>
    <t>Prompt ID</t>
  </si>
  <si>
    <t>Copy/Paste Prompt</t>
  </si>
  <si>
    <t>Expected Output</t>
  </si>
  <si>
    <t>P01</t>
  </si>
  <si>
    <t>Architecture and folder structure</t>
  </si>
  <si>
    <t>Act as a senior Python desktop architect. Design a modular desktop application using PySide6, PostgreSQL, and Liquibase. Propose a clean folder structure with presentation, application, domain, infrastructure, and tests. Include configuration strategy, dependency boundaries, and packaging considerations for future extensibility.</t>
  </si>
  <si>
    <t>Architecture note, folder structure, module responsibilities, bootstrap guidance</t>
  </si>
  <si>
    <t>P02</t>
  </si>
  <si>
    <t>Screen map and UX baseline</t>
  </si>
  <si>
    <t>Act as a desktop UX engineer. Define the complete screen list for an authentication + RBAC administration app in PySide6. Include login, dashboard, user management, role management, permission management, and audit log screens. For each screen, describe layout, key widgets, validation feedback, and navigation flow.</t>
  </si>
  <si>
    <t>Screen inventory and UX specification</t>
  </si>
  <si>
    <t>P03</t>
  </si>
  <si>
    <t>Normalized PostgreSQL schema</t>
  </si>
  <si>
    <t>Design a normalized PostgreSQL schema for a desktop application that supports login by username or mobile number, secure password storage, multiple roles per user, configurable permissions, audit logs, sessions, and future extensibility. Provide tables, columns, PK/FK, unique constraints, indexes, and a relationship explanation.</t>
  </si>
  <si>
    <t>DDL-ready schema design and ERD-style explanation</t>
  </si>
  <si>
    <t>P04</t>
  </si>
  <si>
    <t>Liquibase changelog baseline</t>
  </si>
  <si>
    <t>Generate a Liquibase migration plan and sample changelog structure for the RBAC desktop application schema. Organize changesets for users, login identifiers, credentials, roles, permissions, user-role mapping, role-permission mapping, sessions, audit logs, and settings. Include rollback guidance.</t>
  </si>
  <si>
    <t>Liquibase changelog plan with ordered changesets</t>
  </si>
  <si>
    <t>P05</t>
  </si>
  <si>
    <t>Project scaffold and bootstrap</t>
  </si>
  <si>
    <t>Create a Python project scaffold for the desktop application. Use PySide6 for UI, SQLAlchemy for data access, and configuration files/environment variables for runtime settings. Show startup flow, dependency injection approach, and placeholders for Liquibase execution before app startup.</t>
  </si>
  <si>
    <t>Starter project files and bootstrap code</t>
  </si>
  <si>
    <t>P01,P04</t>
  </si>
  <si>
    <t>P06</t>
  </si>
  <si>
    <t>Login UI implementation</t>
  </si>
  <si>
    <t>Build a PySide6 login window for a desktop application where the user can sign in using either username or mobile number and a password. Include polished layout, validation messages, show/hide password, loading state, and clean separation between UI and auth service calls.</t>
  </si>
  <si>
    <t>Login screen code with reusable widgets</t>
  </si>
  <si>
    <t>P02,P05</t>
  </si>
  <si>
    <t>P07</t>
  </si>
  <si>
    <t>Authentication service</t>
  </si>
  <si>
    <t>Implement a Python authentication service for PostgreSQL-backed desktop software. Requirements: lookup by normalized username or mobile, verify secure password hash, reject inactive or locked accounts, update last login, increment failed attempts, and support temporary lockout. Provide service code and repository contracts.</t>
  </si>
  <si>
    <t>Auth service, repository methods, and security flow</t>
  </si>
  <si>
    <t>P03,P05</t>
  </si>
  <si>
    <t>P08</t>
  </si>
  <si>
    <t>Role and permission domain logic</t>
  </si>
  <si>
    <t>Implement the Python domain and service layer for roles, permissions, user-role assignment, and role-permission mapping. The design must allow new roles and permissions to be added or modified without code changes to core models. Include validation rules and service interfaces.</t>
  </si>
  <si>
    <t>RBAC service classes and business rules</t>
  </si>
  <si>
    <t>P09</t>
  </si>
  <si>
    <t>User management module</t>
  </si>
  <si>
    <t>Create a user management module in PySide6 with create, update, activate, deactivate, and role assignment capabilities. The module must integrate with the RBAC service layer and keep UI logic separate from persistence logic. Include table view, form dialog, and validation guidance.</t>
  </si>
  <si>
    <t>User admin UI and workflow design/code</t>
  </si>
  <si>
    <t>P06,P08</t>
  </si>
  <si>
    <t>P10</t>
  </si>
  <si>
    <t>Role and permission administration UI</t>
  </si>
  <si>
    <t>Create PySide6 screens for role management and permission mapping. Requirements: list roles, create/update role, view permission catalog, assign/unassign permissions to roles, and protect system roles from unsafe deletion. Provide a maintainable UI architecture and sample code.</t>
  </si>
  <si>
    <t>Role/permission admin screens and interaction patterns</t>
  </si>
  <si>
    <t>P08,P09</t>
  </si>
  <si>
    <t>P11</t>
  </si>
  <si>
    <t>RBAC enforcement</t>
  </si>
  <si>
    <t>Show how to enforce role-based permissions consistently in a Python desktop application. Include navigation guards, button/action enablement, service-layer authorization checks, and a strategy to keep permission codes centralized and testable.</t>
  </si>
  <si>
    <t>Permission guard pattern and enforcement examples</t>
  </si>
  <si>
    <t>P12</t>
  </si>
  <si>
    <t>Audit logging and observability</t>
  </si>
  <si>
    <t>Implement an audit logging strategy for a desktop application with authentication and RBAC. Capture login success/failure, user changes, role changes, permission changes, and settings updates. Provide PostgreSQL persistence approach, service hooks, and a simple audit viewer design.</t>
  </si>
  <si>
    <t>Audit service design and integration points</t>
  </si>
  <si>
    <t>P07,P08</t>
  </si>
  <si>
    <t>P13</t>
  </si>
  <si>
    <t>Error handling and UX polish</t>
  </si>
  <si>
    <t>Improve the desktop application's usability and resilience. Propose standardized validation messages, exception handling, retry-safe database error messages, empty states, confirmation dialogs, and form behavior patterns appropriate for a professional business desktop application.</t>
  </si>
  <si>
    <t>UX hardening checklist and reusable patterns</t>
  </si>
  <si>
    <t>P06,P09,P10</t>
  </si>
  <si>
    <t>P14</t>
  </si>
  <si>
    <t>Testing strategy</t>
  </si>
  <si>
    <t>Design a test strategy for the Python desktop application. Cover unit tests for auth and RBAC logic, integration tests for PostgreSQL repositories, migration verification for Liquibase, and UI smoke tests for primary screens. Include what to automate in CI.</t>
  </si>
  <si>
    <t>Test plan, test matrix, and example test cases</t>
  </si>
  <si>
    <t>P07,P08,P10</t>
  </si>
  <si>
    <t>P15</t>
  </si>
  <si>
    <t>Packaging and release prep</t>
  </si>
  <si>
    <t>Explain how to package a PySide6 desktop application for distribution with PostgreSQL connectivity requirements. Include environment configuration, Liquibase migration execution strategy, secure secret handling, installer considerations, logging locations, and release checklist.</t>
  </si>
  <si>
    <t>Packaging plan and release checklist</t>
  </si>
  <si>
    <t>P05,P14</t>
  </si>
  <si>
    <t>P16</t>
  </si>
  <si>
    <t>Future Ready</t>
  </si>
  <si>
    <t>Extension planning</t>
  </si>
  <si>
    <t>Propose an extension strategy for the Python desktop application so future modules can be added with minimal rework. Include module registration, settings management, permission expansion, migration discipline, event hooks, and coding standards for future teams.</t>
  </si>
  <si>
    <t>Future extension blueprint and governance guidance</t>
  </si>
  <si>
    <t>P01,P08,P12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</si>
</sst>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FFFFFF"/>
      <name val="Calibri"/>
    </font>
    <font>
      <b/>
      <sz val="10"/>
      <color rgb="FF000000"/>
      <name val="Calibri"/>
    </font>
    <font>
      <sz val="10"/>
      <color rgb="FF0000FF"/>
      <name val="Calibri"/>
    </font>
    <font>
      <b/>
      <sz val="11"/>
      <color rgb="FFFFFFFF"/>
      <name val="Calibri"/>
    </font>
    <font>
      <sz val="10"/>
      <color rgb="FF000000"/>
      <name val="Calibri"/>
    </font>
    <font>
      <b/>
      <sz val="10"/>
      <color rgb="FFFFFFFF"/>
      <name val="Calibri"/>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7FBFF"/>
      </patternFill>
    </fill>
    <fill>
      <patternFill patternType="solid">
        <fgColor rgb="FF2F75B5"/>
      </patternFill>
    </fill>
  </fills>
  <borders count="3">
    <border>
      <left/>
      <right/>
      <top/>
      <bottom/>
      <diagonal/>
    </border>
    <border>
      <left/>
      <right/>
      <top/>
      <bottom style="medium">
        <color rgb="FF1F4E78"/>
      </bottom>
      <diagonal/>
    </border>
    <border>
      <left/>
      <right/>
      <top/>
      <bottom style="thin">
        <color rgb="FFD9D9D9"/>
      </bottom>
      <diagonal/>
    </border>
  </borders>
  <cellStyleXfs count="1">
    <xf numFmtId="0" fontId="0" fillId="0" borderId="0"/>
  </cellStyleXfs>
  <cellXfs count="23">
    <xf numFmtId="0" fontId="0" fillId="0" borderId="0" xfId="0"/>
    <xf numFmtId="0" fontId="0" fillId="0" borderId="0" xfId="0" applyAlignment="1">
      <alignment vertical="top"/>
    </xf>
    <xf numFmtId="0" fontId="2" fillId="3" borderId="0" xfId="0" applyFont="1" applyFill="1" applyAlignment="1">
      <alignment vertical="top"/>
    </xf>
    <xf numFmtId="0" fontId="0" fillId="4" borderId="0" xfId="0" applyFill="1" applyAlignment="1">
      <alignment vertical="top" wrapText="1"/>
    </xf>
    <xf numFmtId="164" fontId="3" fillId="4" borderId="0" xfId="0" applyNumberFormat="1" applyFont="1" applyFill="1" applyAlignment="1">
      <alignment vertical="top" wrapText="1"/>
    </xf>
    <xf numFmtId="0" fontId="2" fillId="4" borderId="0" xfId="0" applyFont="1" applyFill="1" applyAlignment="1">
      <alignment vertical="top"/>
    </xf>
    <xf numFmtId="0" fontId="5" fillId="4" borderId="0" xfId="0" applyFont="1" applyFill="1" applyAlignment="1">
      <alignment horizontal="left"/>
    </xf>
    <xf numFmtId="1" fontId="5" fillId="4" borderId="0" xfId="0" applyNumberFormat="1" applyFont="1" applyFill="1" applyAlignment="1">
      <alignment horizontal="left"/>
    </xf>
    <xf numFmtId="164" fontId="5" fillId="4" borderId="0" xfId="0" applyNumberFormat="1" applyFont="1" applyFill="1" applyAlignment="1">
      <alignment horizontal="left"/>
    </xf>
    <xf numFmtId="0" fontId="6" fillId="2" borderId="1" xfId="0" applyFont="1" applyFill="1" applyBorder="1" applyAlignment="1">
      <alignment horizontal="center" vertical="center" wrapText="1"/>
    </xf>
    <xf numFmtId="0" fontId="0" fillId="4" borderId="2" xfId="0" applyFill="1" applyBorder="1" applyAlignment="1">
      <alignment vertical="top"/>
    </xf>
    <xf numFmtId="0" fontId="0" fillId="4" borderId="2" xfId="0" applyFill="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164" fontId="0" fillId="4" borderId="2" xfId="0" applyNumberFormat="1" applyFill="1" applyBorder="1" applyAlignment="1">
      <alignment vertical="top"/>
    </xf>
    <xf numFmtId="1" fontId="0" fillId="4" borderId="2" xfId="0" applyNumberFormat="1" applyFill="1" applyBorder="1" applyAlignment="1">
      <alignment vertical="top"/>
    </xf>
    <xf numFmtId="164" fontId="5" fillId="4" borderId="2" xfId="0" applyNumberFormat="1" applyFont="1" applyFill="1" applyBorder="1" applyAlignment="1">
      <alignment vertical="top"/>
    </xf>
    <xf numFmtId="164" fontId="0" fillId="0" borderId="2" xfId="0" applyNumberFormat="1" applyBorder="1" applyAlignment="1">
      <alignment vertical="top"/>
    </xf>
    <xf numFmtId="1" fontId="0" fillId="0" borderId="2" xfId="0" applyNumberFormat="1" applyBorder="1" applyAlignment="1">
      <alignment vertical="top"/>
    </xf>
    <xf numFmtId="164" fontId="5" fillId="0" borderId="2" xfId="0" applyNumberFormat="1" applyFont="1" applyBorder="1" applyAlignment="1">
      <alignment vertical="top"/>
    </xf>
    <xf numFmtId="0" fontId="4" fillId="5" borderId="0" xfId="0" applyFont="1" applyFill="1" applyAlignment="1">
      <alignment horizontal="left" vertical="center"/>
    </xf>
    <xf numFmtId="0" fontId="0" fillId="0" borderId="0" xfId="0"/>
    <xf numFmtId="0" fontId="1" fillId="2" borderId="0" xfId="0" applyFont="1" applyFill="1" applyAlignment="1">
      <alignment horizontal="left" vertical="center"/>
    </xf>
  </cellXfs>
  <cellStyles count="1">
    <cellStyle name="Normal" xfId="0" builtinId="0"/>
  </cellStyles>
  <dxfs count="4">
    <dxf>
      <fill>
        <patternFill>
          <bgColor rgb="FFE7E6E6"/>
        </patternFill>
      </fill>
    </dxf>
    <dxf>
      <fill>
        <patternFill>
          <bgColor rgb="FFFCE4D6"/>
        </patternFill>
      </fill>
    </dxf>
    <dxf>
      <fill>
        <patternFill>
          <bgColor rgb="FFFFF2CC"/>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RSModules" displayName="SRSModules" ref="A15:B21">
  <autoFilter ref="A15:B21" xr:uid="{00000000-0009-0000-0100-000001000000}"/>
  <tableColumns count="2">
    <tableColumn id="1" xr3:uid="{00000000-0010-0000-0000-000001000000}" name="Module"/>
    <tableColumn id="2" xr3:uid="{00000000-0010-0000-0000-000002000000}" name="Responsibil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irementsTable" displayName="RequirementsTable" ref="A3:H24">
  <autoFilter ref="A3:H24" xr:uid="{00000000-0009-0000-0100-000002000000}"/>
  <tableColumns count="8">
    <tableColumn id="1" xr3:uid="{00000000-0010-0000-0100-000001000000}" name="Req ID"/>
    <tableColumn id="2" xr3:uid="{00000000-0010-0000-0100-000002000000}" name="Type"/>
    <tableColumn id="3" xr3:uid="{00000000-0010-0000-0100-000003000000}" name="Module"/>
    <tableColumn id="4" xr3:uid="{00000000-0010-0000-0100-000004000000}" name="Requirement"/>
    <tableColumn id="5" xr3:uid="{00000000-0010-0000-0100-000005000000}" name="Acceptance Criteria"/>
    <tableColumn id="6" xr3:uid="{00000000-0010-0000-0100-000006000000}" name="Priority"/>
    <tableColumn id="7" xr3:uid="{00000000-0010-0000-0100-000007000000}" name="Phase"/>
    <tableColumn id="8" xr3:uid="{00000000-0010-0000-0100-000008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olesTable" displayName="RolesTable" ref="A4:E8">
  <autoFilter ref="A4:E8" xr:uid="{00000000-0009-0000-0100-000003000000}"/>
  <tableColumns count="5">
    <tableColumn id="1" xr3:uid="{00000000-0010-0000-0200-000001000000}" name="Role"/>
    <tableColumn id="2" xr3:uid="{00000000-0010-0000-0200-000002000000}" name="Purpose"/>
    <tableColumn id="3" xr3:uid="{00000000-0010-0000-0200-000003000000}" name="Can Manage Users"/>
    <tableColumn id="4" xr3:uid="{00000000-0010-0000-0200-000004000000}" name="Can Manage Roles/Permissions"/>
    <tableColumn id="5" xr3:uid="{00000000-0010-0000-0200-000005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ermissionsTable" displayName="PermissionsTable" ref="A11:I26">
  <autoFilter ref="A11:I26" xr:uid="{00000000-0009-0000-0100-000004000000}"/>
  <tableColumns count="9">
    <tableColumn id="1" xr3:uid="{00000000-0010-0000-0300-000001000000}" name="Permission Code"/>
    <tableColumn id="2" xr3:uid="{00000000-0010-0000-0300-000002000000}" name="Business Meaning"/>
    <tableColumn id="3" xr3:uid="{00000000-0010-0000-0300-000003000000}" name="Module"/>
    <tableColumn id="4" xr3:uid="{00000000-0010-0000-0300-000004000000}" name="superadmin"/>
    <tableColumn id="5" xr3:uid="{00000000-0010-0000-0300-000005000000}" name="admin"/>
    <tableColumn id="6" xr3:uid="{00000000-0010-0000-0300-000006000000}" name="manager"/>
    <tableColumn id="7" xr3:uid="{00000000-0010-0000-0300-000007000000}" name="user"/>
    <tableColumn id="8" xr3:uid="{00000000-0010-0000-0300-000008000000}" name="Priority"/>
    <tableColumn id="9" xr3:uid="{00000000-0010-0000-0300-000009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hemaTable" displayName="SchemaTable" ref="A3:J67">
  <autoFilter ref="A3:J67" xr:uid="{00000000-0009-0000-0100-000005000000}"/>
  <tableColumns count="10">
    <tableColumn id="1" xr3:uid="{00000000-0010-0000-0400-000001000000}" name="Table"/>
    <tableColumn id="2" xr3:uid="{00000000-0010-0000-0400-000002000000}" name="Column"/>
    <tableColumn id="3" xr3:uid="{00000000-0010-0000-0400-000003000000}" name="Data Type"/>
    <tableColumn id="4" xr3:uid="{00000000-0010-0000-0400-000004000000}" name="PK"/>
    <tableColumn id="5" xr3:uid="{00000000-0010-0000-0400-000005000000}" name="FK"/>
    <tableColumn id="6" xr3:uid="{00000000-0010-0000-0400-000006000000}" name="Unique"/>
    <tableColumn id="7" xr3:uid="{00000000-0010-0000-0400-000007000000}" name="Null?"/>
    <tableColumn id="8" xr3:uid="{00000000-0010-0000-0400-000008000000}" name="Default"/>
    <tableColumn id="9" xr3:uid="{00000000-0010-0000-0400-000009000000}" name="Purpose / Rule"/>
    <tableColumn id="10" xr3:uid="{00000000-0010-0000-0400-00000A000000}" name="Relationship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lationshipTable" displayName="RelationshipTable" ref="A71:D78">
  <autoFilter ref="A71:D78" xr:uid="{00000000-0009-0000-0100-000006000000}"/>
  <tableColumns count="4">
    <tableColumn id="1" xr3:uid="{00000000-0010-0000-0500-000001000000}" name="Relationship"/>
    <tableColumn id="2" xr3:uid="{00000000-0010-0000-0500-000002000000}" name="Cardinality"/>
    <tableColumn id="3" xr3:uid="{00000000-0010-0000-0500-000003000000}" name="Why It Exists"/>
    <tableColumn id="4" xr3:uid="{00000000-0010-0000-0500-000004000000}" name="Design No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iquibaseTable" displayName="LiquibaseTable" ref="A3:G15">
  <autoFilter ref="A3:G15" xr:uid="{00000000-0009-0000-0100-000007000000}"/>
  <tableColumns count="7">
    <tableColumn id="1" xr3:uid="{00000000-0010-0000-0600-000001000000}" name="Order"/>
    <tableColumn id="2" xr3:uid="{00000000-0010-0000-0600-000002000000}" name="ChangeSet ID"/>
    <tableColumn id="3" xr3:uid="{00000000-0010-0000-0600-000003000000}" name="Change Type"/>
    <tableColumn id="4" xr3:uid="{00000000-0010-0000-0600-000004000000}" name="Objects"/>
    <tableColumn id="5" xr3:uid="{00000000-0010-0000-0600-000005000000}" name="Purpose"/>
    <tableColumn id="6" xr3:uid="{00000000-0010-0000-0600-000006000000}" name="Rollback Strategy"/>
    <tableColumn id="7" xr3:uid="{00000000-0010-0000-0600-000007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ilestonesTable" displayName="MilestonesTable" ref="A3:G9">
  <autoFilter ref="A3:G9" xr:uid="{00000000-0009-0000-0100-000008000000}"/>
  <tableColumns count="7">
    <tableColumn id="1" xr3:uid="{00000000-0010-0000-0700-000001000000}" name="Milestone ID"/>
    <tableColumn id="2" xr3:uid="{00000000-0010-0000-0700-000002000000}" name="Milestone"/>
    <tableColumn id="3" xr3:uid="{00000000-0010-0000-0700-000003000000}" name="Goal"/>
    <tableColumn id="4" xr3:uid="{00000000-0010-0000-0700-000004000000}" name="Start Date"/>
    <tableColumn id="5" xr3:uid="{00000000-0010-0000-0700-000005000000}" name="Duration (days)"/>
    <tableColumn id="6" xr3:uid="{00000000-0010-0000-0700-000006000000}" name="End Date"/>
    <tableColumn id="7" xr3:uid="{00000000-0010-0000-0700-000007000000}" name="Exit Criteri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lanTable" displayName="PlanTable" ref="A3:J25">
  <autoFilter ref="A3:J25" xr:uid="{00000000-0009-0000-0100-000009000000}"/>
  <tableColumns count="10">
    <tableColumn id="1" xr3:uid="{00000000-0010-0000-0800-000001000000}" name="Task ID"/>
    <tableColumn id="2" xr3:uid="{00000000-0010-0000-0800-000002000000}" name="Milestone"/>
    <tableColumn id="3" xr3:uid="{00000000-0010-0000-0800-000003000000}" name="Task"/>
    <tableColumn id="4" xr3:uid="{00000000-0010-0000-0800-000004000000}" name="Effort (days)"/>
    <tableColumn id="5" xr3:uid="{00000000-0010-0000-0800-000005000000}" name="Owner"/>
    <tableColumn id="6" xr3:uid="{00000000-0010-0000-0800-000006000000}" name="Planned Start"/>
    <tableColumn id="7" xr3:uid="{00000000-0010-0000-0800-000007000000}" name="Planned End"/>
    <tableColumn id="8" xr3:uid="{00000000-0010-0000-0800-000008000000}" name="Dependency"/>
    <tableColumn id="9" xr3:uid="{00000000-0010-0000-0800-000009000000}" name="Deliverable"/>
    <tableColumn id="10" xr3:uid="{00000000-0010-0000-0800-00000A000000}" name="Statu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mptsTable" displayName="PromptsTable" ref="A3:F19">
  <autoFilter ref="A3:F19" xr:uid="{00000000-0009-0000-0100-00000A000000}"/>
  <tableColumns count="6">
    <tableColumn id="1" xr3:uid="{00000000-0010-0000-0900-000001000000}" name="Prompt ID"/>
    <tableColumn id="2" xr3:uid="{00000000-0010-0000-0900-000002000000}" name="Phase"/>
    <tableColumn id="3" xr3:uid="{00000000-0010-0000-0900-000003000000}" name="Goal"/>
    <tableColumn id="4" xr3:uid="{00000000-0010-0000-0900-000004000000}" name="Copy/Paste Prompt"/>
    <tableColumn id="5" xr3:uid="{00000000-0010-0000-0900-000005000000}" name="Expected Output"/>
    <tableColumn id="6" xr3:uid="{00000000-0010-0000-0900-000006000000}" name="Dependency"/>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heetViews>
  <sheetFormatPr defaultRowHeight="14.4" x14ac:dyDescent="0.3"/>
  <cols>
    <col min="1" max="1" width="10.44140625" bestFit="1" customWidth="1"/>
    <col min="2" max="2" width="11" bestFit="1" customWidth="1"/>
    <col min="3" max="3" width="13.6640625" bestFit="1" customWidth="1"/>
    <col min="4" max="4" width="14.88671875" bestFit="1" customWidth="1"/>
    <col min="5" max="5" width="10.44140625" bestFit="1" customWidth="1"/>
  </cols>
  <sheetData>
    <row r="1" spans="1:5" x14ac:dyDescent="0.3">
      <c r="A1" s="1" t="s">
        <v>0</v>
      </c>
      <c r="B1" s="1" t="s">
        <v>1</v>
      </c>
      <c r="C1" s="1" t="s">
        <v>2</v>
      </c>
      <c r="D1" s="1" t="s">
        <v>3</v>
      </c>
      <c r="E1" s="1" t="s">
        <v>4</v>
      </c>
    </row>
    <row r="2" spans="1:5" x14ac:dyDescent="0.3">
      <c r="A2" s="1" t="s">
        <v>5</v>
      </c>
      <c r="B2" s="1" t="s">
        <v>6</v>
      </c>
      <c r="C2" s="1" t="s">
        <v>7</v>
      </c>
      <c r="D2" s="1" t="s">
        <v>8</v>
      </c>
      <c r="E2" s="1" t="s">
        <v>9</v>
      </c>
    </row>
    <row r="3" spans="1:5" x14ac:dyDescent="0.3">
      <c r="A3" s="1" t="s">
        <v>10</v>
      </c>
      <c r="B3" s="1" t="s">
        <v>11</v>
      </c>
      <c r="C3" s="1" t="s">
        <v>12</v>
      </c>
      <c r="D3" s="1" t="s">
        <v>13</v>
      </c>
      <c r="E3" s="1" t="s">
        <v>14</v>
      </c>
    </row>
    <row r="4" spans="1:5" x14ac:dyDescent="0.3">
      <c r="A4" s="1" t="s">
        <v>15</v>
      </c>
      <c r="B4" s="1"/>
      <c r="C4" s="1" t="s">
        <v>16</v>
      </c>
      <c r="D4" s="1" t="s">
        <v>17</v>
      </c>
      <c r="E4" s="1" t="s">
        <v>18</v>
      </c>
    </row>
    <row r="5" spans="1:5" x14ac:dyDescent="0.3">
      <c r="A5" s="1"/>
      <c r="B5" s="1"/>
      <c r="C5" s="1" t="s">
        <v>19</v>
      </c>
      <c r="D5" s="1" t="s">
        <v>20</v>
      </c>
      <c r="E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topLeftCell="A8" workbookViewId="0">
      <selection sqref="A1:H1"/>
    </sheetView>
  </sheetViews>
  <sheetFormatPr defaultRowHeight="14.4" x14ac:dyDescent="0.3"/>
  <cols>
    <col min="1" max="1" width="38.44140625" bestFit="1" customWidth="1"/>
    <col min="2" max="2" width="54.6640625" bestFit="1" customWidth="1"/>
  </cols>
  <sheetData>
    <row r="1" spans="1:8" ht="22.05" customHeight="1" x14ac:dyDescent="0.3">
      <c r="A1" s="22" t="s">
        <v>21</v>
      </c>
      <c r="B1" s="21"/>
      <c r="C1" s="21"/>
      <c r="D1" s="21"/>
      <c r="E1" s="21"/>
      <c r="F1" s="21"/>
      <c r="G1" s="21"/>
      <c r="H1" s="21"/>
    </row>
    <row r="2" spans="1:8" x14ac:dyDescent="0.3">
      <c r="A2" s="1"/>
      <c r="B2" s="1"/>
      <c r="C2" s="1"/>
      <c r="D2" s="1"/>
      <c r="E2" s="1"/>
      <c r="F2" s="1"/>
      <c r="G2" s="1"/>
      <c r="H2" s="1"/>
    </row>
    <row r="3" spans="1:8" ht="28.8" x14ac:dyDescent="0.3">
      <c r="A3" s="2" t="s">
        <v>22</v>
      </c>
      <c r="B3" s="3" t="s">
        <v>23</v>
      </c>
      <c r="C3" s="1"/>
      <c r="D3" s="1"/>
      <c r="E3" s="1"/>
      <c r="F3" s="1"/>
      <c r="G3" s="1"/>
      <c r="H3" s="1"/>
    </row>
    <row r="4" spans="1:8" x14ac:dyDescent="0.3">
      <c r="A4" s="2" t="s">
        <v>24</v>
      </c>
      <c r="B4" s="4">
        <v>46119</v>
      </c>
      <c r="C4" s="1"/>
      <c r="D4" s="1"/>
      <c r="E4" s="1"/>
      <c r="F4" s="1"/>
      <c r="G4" s="1"/>
      <c r="H4" s="1"/>
    </row>
    <row r="5" spans="1:8" x14ac:dyDescent="0.3">
      <c r="A5" s="2" t="s">
        <v>25</v>
      </c>
      <c r="B5" s="3" t="s">
        <v>26</v>
      </c>
      <c r="C5" s="1"/>
      <c r="D5" s="1"/>
      <c r="E5" s="1"/>
      <c r="F5" s="1"/>
      <c r="G5" s="1"/>
      <c r="H5" s="1"/>
    </row>
    <row r="6" spans="1:8" ht="28.8" x14ac:dyDescent="0.3">
      <c r="A6" s="2" t="s">
        <v>27</v>
      </c>
      <c r="B6" s="3" t="s">
        <v>28</v>
      </c>
      <c r="C6" s="1"/>
      <c r="D6" s="1"/>
      <c r="E6" s="1"/>
      <c r="F6" s="1"/>
      <c r="G6" s="1"/>
      <c r="H6" s="1"/>
    </row>
    <row r="7" spans="1:8" ht="28.8" x14ac:dyDescent="0.3">
      <c r="A7" s="2" t="s">
        <v>29</v>
      </c>
      <c r="B7" s="3" t="s">
        <v>30</v>
      </c>
      <c r="C7" s="1"/>
      <c r="D7" s="1"/>
      <c r="E7" s="1"/>
      <c r="F7" s="1"/>
      <c r="G7" s="1"/>
      <c r="H7" s="1"/>
    </row>
    <row r="8" spans="1:8" x14ac:dyDescent="0.3">
      <c r="A8" s="1"/>
      <c r="B8" s="1"/>
      <c r="C8" s="1"/>
      <c r="D8" s="1"/>
      <c r="E8" s="1"/>
      <c r="F8" s="1"/>
      <c r="G8" s="1"/>
      <c r="H8" s="1"/>
    </row>
    <row r="9" spans="1:8" ht="18" customHeight="1" x14ac:dyDescent="0.3">
      <c r="A9" s="20" t="s">
        <v>31</v>
      </c>
      <c r="B9" s="21"/>
      <c r="C9" s="21"/>
      <c r="D9" s="21"/>
      <c r="E9" s="1"/>
      <c r="F9" s="1"/>
      <c r="G9" s="1"/>
      <c r="H9" s="1"/>
    </row>
    <row r="10" spans="1:8" x14ac:dyDescent="0.3">
      <c r="A10" s="5" t="s">
        <v>32</v>
      </c>
      <c r="B10" s="6">
        <f>COUNTA(Requirements!A4:A24)</f>
        <v>21</v>
      </c>
      <c r="C10" s="1"/>
      <c r="D10" s="1"/>
      <c r="E10" s="1"/>
      <c r="F10" s="1"/>
      <c r="G10" s="1"/>
      <c r="H10" s="1"/>
    </row>
    <row r="11" spans="1:8" x14ac:dyDescent="0.3">
      <c r="A11" s="5" t="s">
        <v>33</v>
      </c>
      <c r="B11" s="6">
        <f>COUNTIF(Requirements!B4:B24,"Functional")</f>
        <v>14</v>
      </c>
      <c r="C11" s="1"/>
      <c r="D11" s="1"/>
      <c r="E11" s="1"/>
      <c r="F11" s="1"/>
      <c r="G11" s="1"/>
      <c r="H11" s="1"/>
    </row>
    <row r="12" spans="1:8" x14ac:dyDescent="0.3">
      <c r="A12" s="5" t="s">
        <v>34</v>
      </c>
      <c r="B12" s="6">
        <f>B10-B11</f>
        <v>7</v>
      </c>
      <c r="C12" s="1"/>
      <c r="D12" s="1"/>
      <c r="E12" s="1"/>
      <c r="F12" s="1"/>
      <c r="G12" s="1"/>
      <c r="H12" s="1"/>
    </row>
    <row r="13" spans="1:8" x14ac:dyDescent="0.3">
      <c r="A13" s="5" t="s">
        <v>35</v>
      </c>
      <c r="B13" s="6">
        <f>COUNTA(Milestones!A4:A9)</f>
        <v>6</v>
      </c>
      <c r="C13" s="1"/>
      <c r="D13" s="1"/>
      <c r="E13" s="1"/>
      <c r="F13" s="1"/>
      <c r="G13" s="1"/>
      <c r="H13" s="1"/>
    </row>
    <row r="14" spans="1:8" x14ac:dyDescent="0.3">
      <c r="A14" s="5" t="s">
        <v>36</v>
      </c>
      <c r="B14" s="6">
        <f>COUNTA(Plan!A4:A25)</f>
        <v>22</v>
      </c>
      <c r="C14" s="1"/>
      <c r="D14" s="1"/>
      <c r="E14" s="1"/>
      <c r="F14" s="1"/>
      <c r="G14" s="1"/>
      <c r="H14" s="1"/>
    </row>
    <row r="15" spans="1:8" x14ac:dyDescent="0.3">
      <c r="A15" s="5" t="s">
        <v>37</v>
      </c>
      <c r="B15" s="6">
        <f>SUM(Plan!D4:D25)</f>
        <v>35</v>
      </c>
      <c r="C15" s="1"/>
      <c r="D15" s="1"/>
      <c r="E15" s="1"/>
      <c r="F15" s="1"/>
      <c r="G15" s="1"/>
      <c r="H15" s="1"/>
    </row>
    <row r="16" spans="1:8" x14ac:dyDescent="0.3">
      <c r="A16" s="5" t="s">
        <v>38</v>
      </c>
      <c r="B16" s="8">
        <f>MAX(Plan!G4:G25)</f>
        <v>46153</v>
      </c>
      <c r="C16" s="1"/>
      <c r="D16" s="1"/>
      <c r="E16" s="1"/>
      <c r="F16" s="1"/>
      <c r="G16" s="1"/>
      <c r="H16" s="1"/>
    </row>
    <row r="17" spans="1:8" x14ac:dyDescent="0.3">
      <c r="A17" s="5" t="s">
        <v>39</v>
      </c>
      <c r="B17" s="7">
        <f>COUNTA(Prompts!A4:A19)</f>
        <v>16</v>
      </c>
      <c r="C17" s="1"/>
      <c r="D17" s="1"/>
      <c r="E17" s="1"/>
      <c r="F17" s="1"/>
      <c r="G17" s="1"/>
      <c r="H17" s="1"/>
    </row>
    <row r="18" spans="1:8" x14ac:dyDescent="0.3">
      <c r="A18" s="1"/>
      <c r="B18" s="1"/>
      <c r="C18" s="1"/>
      <c r="D18" s="1"/>
      <c r="E18" s="1"/>
      <c r="F18" s="1"/>
      <c r="G18" s="1"/>
      <c r="H18" s="1"/>
    </row>
    <row r="19" spans="1:8" x14ac:dyDescent="0.3">
      <c r="A19" s="1"/>
      <c r="B19" s="1"/>
      <c r="C19" s="1"/>
      <c r="D19" s="1"/>
      <c r="E19" s="1"/>
      <c r="F19" s="1"/>
      <c r="G19" s="1"/>
      <c r="H19" s="1"/>
    </row>
    <row r="20" spans="1:8" ht="18" customHeight="1" x14ac:dyDescent="0.3">
      <c r="A20" s="20" t="s">
        <v>40</v>
      </c>
      <c r="B20" s="21"/>
      <c r="C20" s="21"/>
      <c r="D20" s="21"/>
      <c r="E20" s="21"/>
      <c r="F20" s="21"/>
      <c r="G20" s="21"/>
      <c r="H20" s="21"/>
    </row>
    <row r="21" spans="1:8" ht="28.8" x14ac:dyDescent="0.3">
      <c r="A21" s="1" t="s">
        <v>41</v>
      </c>
      <c r="B21" s="3" t="s">
        <v>42</v>
      </c>
      <c r="C21" s="1"/>
      <c r="D21" s="1"/>
      <c r="E21" s="1"/>
      <c r="F21" s="1"/>
      <c r="G21" s="1"/>
      <c r="H21" s="1"/>
    </row>
    <row r="22" spans="1:8" ht="28.8" x14ac:dyDescent="0.3">
      <c r="A22" s="1" t="s">
        <v>41</v>
      </c>
      <c r="B22" s="3" t="s">
        <v>43</v>
      </c>
      <c r="C22" s="1"/>
      <c r="D22" s="1"/>
      <c r="E22" s="1"/>
      <c r="F22" s="1"/>
      <c r="G22" s="1"/>
      <c r="H22" s="1"/>
    </row>
    <row r="23" spans="1:8" ht="28.8" x14ac:dyDescent="0.3">
      <c r="A23" s="1" t="s">
        <v>41</v>
      </c>
      <c r="B23" s="3" t="s">
        <v>44</v>
      </c>
      <c r="C23" s="1"/>
      <c r="D23" s="1"/>
      <c r="E23" s="1"/>
      <c r="F23" s="1"/>
      <c r="G23" s="1"/>
      <c r="H23" s="1"/>
    </row>
    <row r="24" spans="1:8" ht="28.8" x14ac:dyDescent="0.3">
      <c r="A24" s="1" t="s">
        <v>41</v>
      </c>
      <c r="B24" s="3" t="s">
        <v>45</v>
      </c>
      <c r="C24" s="1"/>
      <c r="D24" s="1"/>
      <c r="E24" s="1"/>
      <c r="F24" s="1"/>
      <c r="G24" s="1"/>
      <c r="H24" s="1"/>
    </row>
    <row r="25" spans="1:8" ht="28.8" x14ac:dyDescent="0.3">
      <c r="A25" s="1" t="s">
        <v>41</v>
      </c>
      <c r="B25" s="3" t="s">
        <v>46</v>
      </c>
      <c r="C25" s="1"/>
      <c r="D25" s="1"/>
      <c r="E25" s="1"/>
      <c r="F25" s="1"/>
      <c r="G25" s="1"/>
      <c r="H25" s="1"/>
    </row>
    <row r="26" spans="1:8" ht="28.8" x14ac:dyDescent="0.3">
      <c r="A26" s="1" t="s">
        <v>41</v>
      </c>
      <c r="B26" s="3" t="s">
        <v>47</v>
      </c>
      <c r="C26" s="1"/>
      <c r="D26" s="1"/>
      <c r="E26" s="1"/>
      <c r="F26" s="1"/>
      <c r="G26" s="1"/>
      <c r="H26" s="1"/>
    </row>
  </sheetData>
  <mergeCells count="3">
    <mergeCell ref="A20:H20"/>
    <mergeCell ref="A9:D9"/>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showGridLines="0" topLeftCell="A7" workbookViewId="0">
      <selection sqref="A1:F1"/>
    </sheetView>
  </sheetViews>
  <sheetFormatPr defaultRowHeight="14.4" x14ac:dyDescent="0.3"/>
  <cols>
    <col min="1" max="1" width="28" customWidth="1"/>
    <col min="2" max="2" width="80" customWidth="1"/>
  </cols>
  <sheetData>
    <row r="1" spans="1:6" ht="22.05" customHeight="1" x14ac:dyDescent="0.3">
      <c r="A1" s="22" t="s">
        <v>48</v>
      </c>
      <c r="B1" s="21"/>
      <c r="C1" s="21"/>
      <c r="D1" s="21"/>
      <c r="E1" s="21"/>
      <c r="F1" s="21"/>
    </row>
    <row r="2" spans="1:6" x14ac:dyDescent="0.3">
      <c r="A2" s="1"/>
      <c r="B2" s="1"/>
      <c r="C2" s="1"/>
      <c r="D2" s="1"/>
      <c r="E2" s="1"/>
      <c r="F2" s="1"/>
    </row>
    <row r="3" spans="1:6" ht="43.2" x14ac:dyDescent="0.3">
      <c r="A3" s="2" t="s">
        <v>49</v>
      </c>
      <c r="B3" s="3" t="s">
        <v>50</v>
      </c>
      <c r="C3" s="1"/>
      <c r="D3" s="1"/>
      <c r="E3" s="1"/>
      <c r="F3" s="1"/>
    </row>
    <row r="4" spans="1:6" ht="28.8" x14ac:dyDescent="0.3">
      <c r="A4" s="2" t="s">
        <v>51</v>
      </c>
      <c r="B4" s="3" t="s">
        <v>52</v>
      </c>
      <c r="C4" s="1"/>
      <c r="D4" s="1"/>
      <c r="E4" s="1"/>
      <c r="F4" s="1"/>
    </row>
    <row r="5" spans="1:6" ht="28.8" x14ac:dyDescent="0.3">
      <c r="A5" s="2" t="s">
        <v>53</v>
      </c>
      <c r="B5" s="3" t="s">
        <v>54</v>
      </c>
      <c r="C5" s="1"/>
      <c r="D5" s="1"/>
      <c r="E5" s="1"/>
      <c r="F5" s="1"/>
    </row>
    <row r="6" spans="1:6" x14ac:dyDescent="0.3">
      <c r="A6" s="2" t="s">
        <v>55</v>
      </c>
      <c r="B6" s="3" t="s">
        <v>56</v>
      </c>
      <c r="C6" s="1"/>
      <c r="D6" s="1"/>
      <c r="E6" s="1"/>
      <c r="F6" s="1"/>
    </row>
    <row r="7" spans="1:6" ht="28.8" x14ac:dyDescent="0.3">
      <c r="A7" s="2" t="s">
        <v>57</v>
      </c>
      <c r="B7" s="3" t="s">
        <v>58</v>
      </c>
      <c r="C7" s="1"/>
      <c r="D7" s="1"/>
      <c r="E7" s="1"/>
      <c r="F7" s="1"/>
    </row>
    <row r="8" spans="1:6" ht="43.2" x14ac:dyDescent="0.3">
      <c r="A8" s="2" t="s">
        <v>59</v>
      </c>
      <c r="B8" s="3" t="s">
        <v>60</v>
      </c>
      <c r="C8" s="1"/>
      <c r="D8" s="1"/>
      <c r="E8" s="1"/>
      <c r="F8" s="1"/>
    </row>
    <row r="9" spans="1:6" ht="28.8" x14ac:dyDescent="0.3">
      <c r="A9" s="2" t="s">
        <v>61</v>
      </c>
      <c r="B9" s="3" t="s">
        <v>62</v>
      </c>
      <c r="C9" s="1"/>
      <c r="D9" s="1"/>
      <c r="E9" s="1"/>
      <c r="F9" s="1"/>
    </row>
    <row r="10" spans="1:6" ht="28.8" x14ac:dyDescent="0.3">
      <c r="A10" s="2" t="s">
        <v>63</v>
      </c>
      <c r="B10" s="3" t="s">
        <v>64</v>
      </c>
      <c r="C10" s="1"/>
      <c r="D10" s="1"/>
      <c r="E10" s="1"/>
      <c r="F10" s="1"/>
    </row>
    <row r="11" spans="1:6" ht="28.8" x14ac:dyDescent="0.3">
      <c r="A11" s="2" t="s">
        <v>65</v>
      </c>
      <c r="B11" s="3" t="s">
        <v>66</v>
      </c>
      <c r="C11" s="1"/>
      <c r="D11" s="1"/>
      <c r="E11" s="1"/>
      <c r="F11" s="1"/>
    </row>
    <row r="12" spans="1:6" ht="43.2" x14ac:dyDescent="0.3">
      <c r="A12" s="2" t="s">
        <v>67</v>
      </c>
      <c r="B12" s="3" t="s">
        <v>68</v>
      </c>
      <c r="C12" s="1"/>
      <c r="D12" s="1"/>
      <c r="E12" s="1"/>
      <c r="F12" s="1"/>
    </row>
    <row r="13" spans="1:6" x14ac:dyDescent="0.3">
      <c r="A13" s="1"/>
      <c r="B13" s="1"/>
      <c r="C13" s="1"/>
      <c r="D13" s="1"/>
      <c r="E13" s="1"/>
      <c r="F13" s="1"/>
    </row>
    <row r="14" spans="1:6" ht="18" customHeight="1" x14ac:dyDescent="0.3">
      <c r="A14" s="20" t="s">
        <v>69</v>
      </c>
      <c r="B14" s="21"/>
      <c r="C14" s="21"/>
      <c r="D14" s="21"/>
      <c r="E14" s="1"/>
      <c r="F14" s="1"/>
    </row>
    <row r="15" spans="1:6" ht="22.05" customHeight="1" x14ac:dyDescent="0.3">
      <c r="A15" s="9" t="s">
        <v>70</v>
      </c>
      <c r="B15" s="9" t="s">
        <v>71</v>
      </c>
      <c r="C15" s="1"/>
      <c r="D15" s="1"/>
      <c r="E15" s="1"/>
      <c r="F15" s="1"/>
    </row>
    <row r="16" spans="1:6" x14ac:dyDescent="0.3">
      <c r="A16" s="10" t="s">
        <v>72</v>
      </c>
      <c r="B16" s="11" t="s">
        <v>73</v>
      </c>
      <c r="C16" s="1"/>
      <c r="D16" s="1"/>
      <c r="E16" s="1"/>
      <c r="F16" s="1"/>
    </row>
    <row r="17" spans="1:6" x14ac:dyDescent="0.3">
      <c r="A17" s="12" t="s">
        <v>74</v>
      </c>
      <c r="B17" s="13" t="s">
        <v>75</v>
      </c>
      <c r="C17" s="1"/>
      <c r="D17" s="1"/>
      <c r="E17" s="1"/>
      <c r="F17" s="1"/>
    </row>
    <row r="18" spans="1:6" x14ac:dyDescent="0.3">
      <c r="A18" s="10" t="s">
        <v>76</v>
      </c>
      <c r="B18" s="11" t="s">
        <v>77</v>
      </c>
      <c r="C18" s="1"/>
      <c r="D18" s="1"/>
      <c r="E18" s="1"/>
      <c r="F18" s="1"/>
    </row>
    <row r="19" spans="1:6" x14ac:dyDescent="0.3">
      <c r="A19" s="12" t="s">
        <v>78</v>
      </c>
      <c r="B19" s="13" t="s">
        <v>79</v>
      </c>
      <c r="C19" s="1"/>
      <c r="D19" s="1"/>
      <c r="E19" s="1"/>
      <c r="F19" s="1"/>
    </row>
    <row r="20" spans="1:6" x14ac:dyDescent="0.3">
      <c r="A20" s="10" t="s">
        <v>16</v>
      </c>
      <c r="B20" s="11" t="s">
        <v>80</v>
      </c>
      <c r="C20" s="1"/>
      <c r="D20" s="1"/>
      <c r="E20" s="1"/>
      <c r="F20" s="1"/>
    </row>
    <row r="21" spans="1:6" x14ac:dyDescent="0.3">
      <c r="A21" s="12" t="s">
        <v>81</v>
      </c>
      <c r="B21" s="13" t="s">
        <v>82</v>
      </c>
      <c r="C21" s="1"/>
      <c r="D21" s="1"/>
      <c r="E21" s="1"/>
      <c r="F21" s="1"/>
    </row>
  </sheetData>
  <mergeCells count="2">
    <mergeCell ref="A1:F1"/>
    <mergeCell ref="A14:D14"/>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topLeftCell="A3" workbookViewId="0">
      <selection sqref="A1:H1"/>
    </sheetView>
  </sheetViews>
  <sheetFormatPr defaultRowHeight="14.4" x14ac:dyDescent="0.3"/>
  <cols>
    <col min="1" max="1" width="11" customWidth="1"/>
    <col min="2" max="2" width="16" customWidth="1"/>
    <col min="3" max="3" width="18" customWidth="1"/>
    <col min="4" max="4" width="45" customWidth="1"/>
    <col min="5" max="5" width="48" customWidth="1"/>
    <col min="6" max="6" width="14" customWidth="1"/>
    <col min="7" max="7" width="18" customWidth="1"/>
    <col min="8" max="8" width="36" customWidth="1"/>
  </cols>
  <sheetData>
    <row r="1" spans="1:8" ht="17.55" customHeight="1" x14ac:dyDescent="0.3">
      <c r="A1" s="22" t="s">
        <v>83</v>
      </c>
      <c r="B1" s="21"/>
      <c r="C1" s="21"/>
      <c r="D1" s="21"/>
      <c r="E1" s="21"/>
      <c r="F1" s="21"/>
      <c r="G1" s="21"/>
      <c r="H1" s="21"/>
    </row>
    <row r="2" spans="1:8" x14ac:dyDescent="0.3">
      <c r="A2" s="1"/>
      <c r="B2" s="1"/>
      <c r="C2" s="1"/>
      <c r="D2" s="1"/>
      <c r="E2" s="1"/>
      <c r="F2" s="1"/>
      <c r="G2" s="1"/>
      <c r="H2" s="1"/>
    </row>
    <row r="3" spans="1:8" ht="17.55" customHeight="1" x14ac:dyDescent="0.3">
      <c r="A3" s="9" t="s">
        <v>84</v>
      </c>
      <c r="B3" s="9" t="s">
        <v>85</v>
      </c>
      <c r="C3" s="9" t="s">
        <v>70</v>
      </c>
      <c r="D3" s="9" t="s">
        <v>86</v>
      </c>
      <c r="E3" s="9" t="s">
        <v>87</v>
      </c>
      <c r="F3" s="9" t="s">
        <v>88</v>
      </c>
      <c r="G3" s="9" t="s">
        <v>89</v>
      </c>
      <c r="H3" s="9" t="s">
        <v>90</v>
      </c>
    </row>
    <row r="4" spans="1:8" ht="28.8" x14ac:dyDescent="0.3">
      <c r="A4" s="10" t="s">
        <v>91</v>
      </c>
      <c r="B4" s="10" t="s">
        <v>2</v>
      </c>
      <c r="C4" s="10" t="s">
        <v>92</v>
      </c>
      <c r="D4" s="11" t="s">
        <v>93</v>
      </c>
      <c r="E4" s="11" t="s">
        <v>94</v>
      </c>
      <c r="F4" s="10" t="s">
        <v>1</v>
      </c>
      <c r="G4" s="10" t="s">
        <v>3</v>
      </c>
      <c r="H4" s="11" t="s">
        <v>95</v>
      </c>
    </row>
    <row r="5" spans="1:8" ht="28.8" x14ac:dyDescent="0.3">
      <c r="A5" s="12" t="s">
        <v>96</v>
      </c>
      <c r="B5" s="12" t="s">
        <v>2</v>
      </c>
      <c r="C5" s="12" t="s">
        <v>92</v>
      </c>
      <c r="D5" s="13" t="s">
        <v>97</v>
      </c>
      <c r="E5" s="13" t="s">
        <v>98</v>
      </c>
      <c r="F5" s="12" t="s">
        <v>1</v>
      </c>
      <c r="G5" s="12" t="s">
        <v>3</v>
      </c>
      <c r="H5" s="13" t="s">
        <v>99</v>
      </c>
    </row>
    <row r="6" spans="1:8" ht="28.8" x14ac:dyDescent="0.3">
      <c r="A6" s="10" t="s">
        <v>100</v>
      </c>
      <c r="B6" s="10" t="s">
        <v>2</v>
      </c>
      <c r="C6" s="10" t="s">
        <v>16</v>
      </c>
      <c r="D6" s="11" t="s">
        <v>101</v>
      </c>
      <c r="E6" s="11" t="s">
        <v>102</v>
      </c>
      <c r="F6" s="10" t="s">
        <v>1</v>
      </c>
      <c r="G6" s="10" t="s">
        <v>3</v>
      </c>
      <c r="H6" s="11" t="s">
        <v>103</v>
      </c>
    </row>
    <row r="7" spans="1:8" ht="28.8" x14ac:dyDescent="0.3">
      <c r="A7" s="12" t="s">
        <v>104</v>
      </c>
      <c r="B7" s="12" t="s">
        <v>2</v>
      </c>
      <c r="C7" s="12" t="s">
        <v>105</v>
      </c>
      <c r="D7" s="13" t="s">
        <v>106</v>
      </c>
      <c r="E7" s="13" t="s">
        <v>107</v>
      </c>
      <c r="F7" s="12" t="s">
        <v>1</v>
      </c>
      <c r="G7" s="12" t="s">
        <v>3</v>
      </c>
      <c r="H7" s="13" t="s">
        <v>108</v>
      </c>
    </row>
    <row r="8" spans="1:8" ht="28.8" x14ac:dyDescent="0.3">
      <c r="A8" s="10" t="s">
        <v>109</v>
      </c>
      <c r="B8" s="10" t="s">
        <v>2</v>
      </c>
      <c r="C8" s="10" t="s">
        <v>105</v>
      </c>
      <c r="D8" s="11" t="s">
        <v>110</v>
      </c>
      <c r="E8" s="11" t="s">
        <v>111</v>
      </c>
      <c r="F8" s="10" t="s">
        <v>1</v>
      </c>
      <c r="G8" s="10" t="s">
        <v>8</v>
      </c>
      <c r="H8" s="11" t="s">
        <v>112</v>
      </c>
    </row>
    <row r="9" spans="1:8" ht="28.8" x14ac:dyDescent="0.3">
      <c r="A9" s="12" t="s">
        <v>113</v>
      </c>
      <c r="B9" s="12" t="s">
        <v>2</v>
      </c>
      <c r="C9" s="12" t="s">
        <v>81</v>
      </c>
      <c r="D9" s="13" t="s">
        <v>114</v>
      </c>
      <c r="E9" s="13" t="s">
        <v>115</v>
      </c>
      <c r="F9" s="12" t="s">
        <v>1</v>
      </c>
      <c r="G9" s="12" t="s">
        <v>8</v>
      </c>
      <c r="H9" s="13" t="s">
        <v>116</v>
      </c>
    </row>
    <row r="10" spans="1:8" ht="28.8" x14ac:dyDescent="0.3">
      <c r="A10" s="10" t="s">
        <v>117</v>
      </c>
      <c r="B10" s="10" t="s">
        <v>2</v>
      </c>
      <c r="C10" s="10" t="s">
        <v>81</v>
      </c>
      <c r="D10" s="11" t="s">
        <v>118</v>
      </c>
      <c r="E10" s="11" t="s">
        <v>119</v>
      </c>
      <c r="F10" s="10" t="s">
        <v>1</v>
      </c>
      <c r="G10" s="10" t="s">
        <v>8</v>
      </c>
      <c r="H10" s="11" t="s">
        <v>120</v>
      </c>
    </row>
    <row r="11" spans="1:8" ht="28.8" x14ac:dyDescent="0.3">
      <c r="A11" s="12" t="s">
        <v>121</v>
      </c>
      <c r="B11" s="12" t="s">
        <v>2</v>
      </c>
      <c r="C11" s="12" t="s">
        <v>81</v>
      </c>
      <c r="D11" s="13" t="s">
        <v>122</v>
      </c>
      <c r="E11" s="13" t="s">
        <v>123</v>
      </c>
      <c r="F11" s="12" t="s">
        <v>6</v>
      </c>
      <c r="G11" s="12" t="s">
        <v>8</v>
      </c>
      <c r="H11" s="13" t="s">
        <v>124</v>
      </c>
    </row>
    <row r="12" spans="1:8" ht="28.8" x14ac:dyDescent="0.3">
      <c r="A12" s="10" t="s">
        <v>125</v>
      </c>
      <c r="B12" s="10" t="s">
        <v>2</v>
      </c>
      <c r="C12" s="10" t="s">
        <v>81</v>
      </c>
      <c r="D12" s="11" t="s">
        <v>126</v>
      </c>
      <c r="E12" s="11" t="s">
        <v>127</v>
      </c>
      <c r="F12" s="10" t="s">
        <v>1</v>
      </c>
      <c r="G12" s="10" t="s">
        <v>8</v>
      </c>
      <c r="H12" s="11" t="s">
        <v>128</v>
      </c>
    </row>
    <row r="13" spans="1:8" ht="28.8" x14ac:dyDescent="0.3">
      <c r="A13" s="12" t="s">
        <v>129</v>
      </c>
      <c r="B13" s="12" t="s">
        <v>2</v>
      </c>
      <c r="C13" s="12" t="s">
        <v>81</v>
      </c>
      <c r="D13" s="13" t="s">
        <v>130</v>
      </c>
      <c r="E13" s="13" t="s">
        <v>131</v>
      </c>
      <c r="F13" s="12" t="s">
        <v>6</v>
      </c>
      <c r="G13" s="12" t="s">
        <v>8</v>
      </c>
      <c r="H13" s="13" t="s">
        <v>132</v>
      </c>
    </row>
    <row r="14" spans="1:8" ht="28.8" x14ac:dyDescent="0.3">
      <c r="A14" s="10" t="s">
        <v>133</v>
      </c>
      <c r="B14" s="10" t="s">
        <v>2</v>
      </c>
      <c r="C14" s="10" t="s">
        <v>134</v>
      </c>
      <c r="D14" s="11" t="s">
        <v>135</v>
      </c>
      <c r="E14" s="11" t="s">
        <v>136</v>
      </c>
      <c r="F14" s="10" t="s">
        <v>1</v>
      </c>
      <c r="G14" s="10" t="s">
        <v>13</v>
      </c>
      <c r="H14" s="11" t="s">
        <v>137</v>
      </c>
    </row>
    <row r="15" spans="1:8" ht="28.8" x14ac:dyDescent="0.3">
      <c r="A15" s="12" t="s">
        <v>138</v>
      </c>
      <c r="B15" s="12" t="s">
        <v>2</v>
      </c>
      <c r="C15" s="12" t="s">
        <v>16</v>
      </c>
      <c r="D15" s="13" t="s">
        <v>139</v>
      </c>
      <c r="E15" s="13" t="s">
        <v>140</v>
      </c>
      <c r="F15" s="12" t="s">
        <v>6</v>
      </c>
      <c r="G15" s="12" t="s">
        <v>13</v>
      </c>
      <c r="H15" s="13" t="s">
        <v>141</v>
      </c>
    </row>
    <row r="16" spans="1:8" ht="28.8" x14ac:dyDescent="0.3">
      <c r="A16" s="10" t="s">
        <v>142</v>
      </c>
      <c r="B16" s="10" t="s">
        <v>2</v>
      </c>
      <c r="C16" s="10" t="s">
        <v>143</v>
      </c>
      <c r="D16" s="11" t="s">
        <v>144</v>
      </c>
      <c r="E16" s="11" t="s">
        <v>145</v>
      </c>
      <c r="F16" s="10" t="s">
        <v>11</v>
      </c>
      <c r="G16" s="10" t="s">
        <v>13</v>
      </c>
      <c r="H16" s="11" t="s">
        <v>146</v>
      </c>
    </row>
    <row r="17" spans="1:8" ht="28.8" x14ac:dyDescent="0.3">
      <c r="A17" s="12" t="s">
        <v>147</v>
      </c>
      <c r="B17" s="12" t="s">
        <v>2</v>
      </c>
      <c r="C17" s="12" t="s">
        <v>148</v>
      </c>
      <c r="D17" s="13" t="s">
        <v>149</v>
      </c>
      <c r="E17" s="13" t="s">
        <v>150</v>
      </c>
      <c r="F17" s="12" t="s">
        <v>11</v>
      </c>
      <c r="G17" s="12" t="s">
        <v>17</v>
      </c>
      <c r="H17" s="13" t="s">
        <v>151</v>
      </c>
    </row>
    <row r="18" spans="1:8" ht="28.8" x14ac:dyDescent="0.3">
      <c r="A18" s="10" t="s">
        <v>152</v>
      </c>
      <c r="B18" s="10" t="s">
        <v>7</v>
      </c>
      <c r="C18" s="10" t="s">
        <v>153</v>
      </c>
      <c r="D18" s="11" t="s">
        <v>154</v>
      </c>
      <c r="E18" s="11" t="s">
        <v>155</v>
      </c>
      <c r="F18" s="10" t="s">
        <v>1</v>
      </c>
      <c r="G18" s="10" t="s">
        <v>3</v>
      </c>
      <c r="H18" s="11" t="s">
        <v>156</v>
      </c>
    </row>
    <row r="19" spans="1:8" ht="28.8" x14ac:dyDescent="0.3">
      <c r="A19" s="12" t="s">
        <v>157</v>
      </c>
      <c r="B19" s="12" t="s">
        <v>7</v>
      </c>
      <c r="C19" s="12" t="s">
        <v>158</v>
      </c>
      <c r="D19" s="13" t="s">
        <v>159</v>
      </c>
      <c r="E19" s="13" t="s">
        <v>160</v>
      </c>
      <c r="F19" s="12" t="s">
        <v>6</v>
      </c>
      <c r="G19" s="12" t="s">
        <v>17</v>
      </c>
      <c r="H19" s="13" t="s">
        <v>161</v>
      </c>
    </row>
    <row r="20" spans="1:8" ht="28.8" x14ac:dyDescent="0.3">
      <c r="A20" s="10" t="s">
        <v>162</v>
      </c>
      <c r="B20" s="10" t="s">
        <v>16</v>
      </c>
      <c r="C20" s="10" t="s">
        <v>16</v>
      </c>
      <c r="D20" s="11" t="s">
        <v>163</v>
      </c>
      <c r="E20" s="11" t="s">
        <v>164</v>
      </c>
      <c r="F20" s="10" t="s">
        <v>1</v>
      </c>
      <c r="G20" s="10" t="s">
        <v>3</v>
      </c>
      <c r="H20" s="11" t="s">
        <v>165</v>
      </c>
    </row>
    <row r="21" spans="1:8" ht="28.8" x14ac:dyDescent="0.3">
      <c r="A21" s="12" t="s">
        <v>166</v>
      </c>
      <c r="B21" s="12" t="s">
        <v>7</v>
      </c>
      <c r="C21" s="12" t="s">
        <v>167</v>
      </c>
      <c r="D21" s="13" t="s">
        <v>168</v>
      </c>
      <c r="E21" s="13" t="s">
        <v>169</v>
      </c>
      <c r="F21" s="12" t="s">
        <v>1</v>
      </c>
      <c r="G21" s="12" t="s">
        <v>3</v>
      </c>
      <c r="H21" s="13" t="s">
        <v>170</v>
      </c>
    </row>
    <row r="22" spans="1:8" ht="28.8" x14ac:dyDescent="0.3">
      <c r="A22" s="10" t="s">
        <v>171</v>
      </c>
      <c r="B22" s="10" t="s">
        <v>12</v>
      </c>
      <c r="C22" s="10" t="s">
        <v>172</v>
      </c>
      <c r="D22" s="11" t="s">
        <v>173</v>
      </c>
      <c r="E22" s="11" t="s">
        <v>174</v>
      </c>
      <c r="F22" s="10" t="s">
        <v>1</v>
      </c>
      <c r="G22" s="10" t="s">
        <v>3</v>
      </c>
      <c r="H22" s="11" t="s">
        <v>175</v>
      </c>
    </row>
    <row r="23" spans="1:8" ht="28.8" x14ac:dyDescent="0.3">
      <c r="A23" s="12" t="s">
        <v>176</v>
      </c>
      <c r="B23" s="12" t="s">
        <v>7</v>
      </c>
      <c r="C23" s="12" t="s">
        <v>177</v>
      </c>
      <c r="D23" s="13" t="s">
        <v>178</v>
      </c>
      <c r="E23" s="13" t="s">
        <v>179</v>
      </c>
      <c r="F23" s="12" t="s">
        <v>6</v>
      </c>
      <c r="G23" s="12" t="s">
        <v>17</v>
      </c>
      <c r="H23" s="13" t="s">
        <v>180</v>
      </c>
    </row>
    <row r="24" spans="1:8" ht="28.8" x14ac:dyDescent="0.3">
      <c r="A24" s="10" t="s">
        <v>181</v>
      </c>
      <c r="B24" s="10" t="s">
        <v>19</v>
      </c>
      <c r="C24" s="10" t="s">
        <v>182</v>
      </c>
      <c r="D24" s="11" t="s">
        <v>183</v>
      </c>
      <c r="E24" s="11" t="s">
        <v>184</v>
      </c>
      <c r="F24" s="10" t="s">
        <v>11</v>
      </c>
      <c r="G24" s="10" t="s">
        <v>17</v>
      </c>
      <c r="H24" s="11" t="s">
        <v>185</v>
      </c>
    </row>
  </sheetData>
  <mergeCells count="1">
    <mergeCell ref="A1:H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xr:uid="{00000000-0002-0000-0300-000000000000}">
          <x14:formula1>
            <xm:f>Lists!$B$1:$B$3</xm:f>
          </x14:formula1>
          <xm:sqref>F4:F24</xm:sqref>
        </x14:dataValidation>
        <x14:dataValidation type="list" xr:uid="{00000000-0002-0000-0300-000001000000}">
          <x14:formula1>
            <xm:f>Lists!$C$1:$C$5</xm:f>
          </x14:formula1>
          <xm:sqref>B4:B24</xm:sqref>
        </x14:dataValidation>
        <x14:dataValidation type="list" xr:uid="{00000000-0002-0000-0300-000002000000}">
          <x14:formula1>
            <xm:f>Lists!$D$1:$D$5</xm:f>
          </x14:formula1>
          <xm:sqref>G4:G24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
  <sheetViews>
    <sheetView showGridLines="0" topLeftCell="A7" workbookViewId="0">
      <selection sqref="A1:I1"/>
    </sheetView>
  </sheetViews>
  <sheetFormatPr defaultRowHeight="14.4" x14ac:dyDescent="0.3"/>
  <cols>
    <col min="1" max="1" width="22" customWidth="1"/>
    <col min="2" max="2" width="34" customWidth="1"/>
    <col min="3" max="3" width="18" customWidth="1"/>
    <col min="4" max="4" width="12" customWidth="1"/>
    <col min="5" max="5" width="10.33203125" bestFit="1" customWidth="1"/>
    <col min="6" max="7" width="10" customWidth="1"/>
    <col min="8" max="8" width="12" customWidth="1"/>
    <col min="9" max="9" width="30" customWidth="1"/>
  </cols>
  <sheetData>
    <row r="1" spans="1:9" ht="22.05" customHeight="1" x14ac:dyDescent="0.3">
      <c r="A1" s="22" t="s">
        <v>186</v>
      </c>
      <c r="B1" s="21"/>
      <c r="C1" s="21"/>
      <c r="D1" s="21"/>
      <c r="E1" s="21"/>
      <c r="F1" s="21"/>
      <c r="G1" s="21"/>
      <c r="H1" s="21"/>
      <c r="I1" s="21"/>
    </row>
    <row r="2" spans="1:9" x14ac:dyDescent="0.3">
      <c r="A2" s="1"/>
      <c r="B2" s="1"/>
      <c r="C2" s="1"/>
      <c r="D2" s="1"/>
      <c r="E2" s="1"/>
      <c r="F2" s="1"/>
      <c r="G2" s="1"/>
      <c r="H2" s="1"/>
      <c r="I2" s="1"/>
    </row>
    <row r="3" spans="1:9" ht="18" customHeight="1" x14ac:dyDescent="0.3">
      <c r="A3" s="20" t="s">
        <v>187</v>
      </c>
      <c r="B3" s="21"/>
      <c r="C3" s="21"/>
      <c r="D3" s="21"/>
      <c r="E3" s="21"/>
      <c r="F3" s="1"/>
      <c r="G3" s="1"/>
      <c r="H3" s="1"/>
      <c r="I3" s="1"/>
    </row>
    <row r="4" spans="1:9" ht="22.05" customHeight="1" x14ac:dyDescent="0.3">
      <c r="A4" s="9" t="s">
        <v>188</v>
      </c>
      <c r="B4" s="9" t="s">
        <v>189</v>
      </c>
      <c r="C4" s="9" t="s">
        <v>190</v>
      </c>
      <c r="D4" s="9" t="s">
        <v>191</v>
      </c>
      <c r="E4" s="9" t="s">
        <v>90</v>
      </c>
      <c r="F4" s="1"/>
      <c r="G4" s="1"/>
      <c r="H4" s="1"/>
      <c r="I4" s="1"/>
    </row>
    <row r="5" spans="1:9" ht="115.2" x14ac:dyDescent="0.3">
      <c r="A5" s="12" t="s">
        <v>4</v>
      </c>
      <c r="B5" s="13" t="s">
        <v>192</v>
      </c>
      <c r="C5" s="12" t="s">
        <v>193</v>
      </c>
      <c r="D5" s="12" t="s">
        <v>193</v>
      </c>
      <c r="E5" s="13" t="s">
        <v>194</v>
      </c>
      <c r="F5" s="1"/>
      <c r="G5" s="1"/>
      <c r="H5" s="1"/>
      <c r="I5" s="1"/>
    </row>
    <row r="6" spans="1:9" ht="100.8" x14ac:dyDescent="0.3">
      <c r="A6" s="10" t="s">
        <v>9</v>
      </c>
      <c r="B6" s="11" t="s">
        <v>195</v>
      </c>
      <c r="C6" s="10" t="s">
        <v>193</v>
      </c>
      <c r="D6" s="10" t="s">
        <v>193</v>
      </c>
      <c r="E6" s="11" t="s">
        <v>196</v>
      </c>
      <c r="F6" s="1"/>
      <c r="G6" s="1"/>
      <c r="H6" s="1"/>
      <c r="I6" s="1"/>
    </row>
    <row r="7" spans="1:9" ht="86.4" x14ac:dyDescent="0.3">
      <c r="A7" s="12" t="s">
        <v>14</v>
      </c>
      <c r="B7" s="13" t="s">
        <v>197</v>
      </c>
      <c r="C7" s="12" t="s">
        <v>198</v>
      </c>
      <c r="D7" s="12" t="s">
        <v>199</v>
      </c>
      <c r="E7" s="13" t="s">
        <v>200</v>
      </c>
      <c r="F7" s="1"/>
      <c r="G7" s="1"/>
      <c r="H7" s="1"/>
      <c r="I7" s="1"/>
    </row>
    <row r="8" spans="1:9" ht="72" x14ac:dyDescent="0.3">
      <c r="A8" s="10" t="s">
        <v>18</v>
      </c>
      <c r="B8" s="11" t="s">
        <v>201</v>
      </c>
      <c r="C8" s="10" t="s">
        <v>199</v>
      </c>
      <c r="D8" s="10" t="s">
        <v>199</v>
      </c>
      <c r="E8" s="11" t="s">
        <v>202</v>
      </c>
      <c r="F8" s="1"/>
      <c r="G8" s="1"/>
      <c r="H8" s="1"/>
      <c r="I8" s="1"/>
    </row>
    <row r="9" spans="1:9" x14ac:dyDescent="0.3">
      <c r="A9" s="1"/>
      <c r="B9" s="1"/>
      <c r="C9" s="1"/>
      <c r="D9" s="1"/>
      <c r="E9" s="1"/>
      <c r="F9" s="1"/>
      <c r="G9" s="1"/>
      <c r="H9" s="1"/>
      <c r="I9" s="1"/>
    </row>
    <row r="10" spans="1:9" ht="18" customHeight="1" x14ac:dyDescent="0.3">
      <c r="A10" s="20" t="s">
        <v>203</v>
      </c>
      <c r="B10" s="21"/>
      <c r="C10" s="21"/>
      <c r="D10" s="21"/>
      <c r="E10" s="21"/>
      <c r="F10" s="21"/>
      <c r="G10" s="21"/>
      <c r="H10" s="21"/>
      <c r="I10" s="21"/>
    </row>
    <row r="11" spans="1:9" ht="22.05" customHeight="1" x14ac:dyDescent="0.3">
      <c r="A11" s="9" t="s">
        <v>204</v>
      </c>
      <c r="B11" s="9" t="s">
        <v>205</v>
      </c>
      <c r="C11" s="9" t="s">
        <v>70</v>
      </c>
      <c r="D11" s="9" t="s">
        <v>4</v>
      </c>
      <c r="E11" s="9" t="s">
        <v>9</v>
      </c>
      <c r="F11" s="9" t="s">
        <v>14</v>
      </c>
      <c r="G11" s="9" t="s">
        <v>18</v>
      </c>
      <c r="H11" s="9" t="s">
        <v>88</v>
      </c>
      <c r="I11" s="9" t="s">
        <v>90</v>
      </c>
    </row>
    <row r="12" spans="1:9" x14ac:dyDescent="0.3">
      <c r="A12" s="10" t="s">
        <v>206</v>
      </c>
      <c r="B12" s="11" t="s">
        <v>207</v>
      </c>
      <c r="C12" s="10" t="s">
        <v>92</v>
      </c>
      <c r="D12" s="10" t="s">
        <v>208</v>
      </c>
      <c r="E12" s="10" t="s">
        <v>208</v>
      </c>
      <c r="F12" s="10" t="s">
        <v>208</v>
      </c>
      <c r="G12" s="10" t="s">
        <v>208</v>
      </c>
      <c r="H12" s="10" t="s">
        <v>1</v>
      </c>
      <c r="I12" s="11" t="s">
        <v>209</v>
      </c>
    </row>
    <row r="13" spans="1:9" x14ac:dyDescent="0.3">
      <c r="A13" s="12" t="s">
        <v>210</v>
      </c>
      <c r="B13" s="13" t="s">
        <v>211</v>
      </c>
      <c r="C13" s="12" t="s">
        <v>81</v>
      </c>
      <c r="D13" s="12" t="s">
        <v>208</v>
      </c>
      <c r="E13" s="12" t="s">
        <v>208</v>
      </c>
      <c r="F13" s="12" t="s">
        <v>212</v>
      </c>
      <c r="G13" s="12" t="s">
        <v>212</v>
      </c>
      <c r="H13" s="12" t="s">
        <v>1</v>
      </c>
      <c r="I13" s="13" t="s">
        <v>213</v>
      </c>
    </row>
    <row r="14" spans="1:9" x14ac:dyDescent="0.3">
      <c r="A14" s="10" t="s">
        <v>214</v>
      </c>
      <c r="B14" s="11" t="s">
        <v>215</v>
      </c>
      <c r="C14" s="10" t="s">
        <v>81</v>
      </c>
      <c r="D14" s="10" t="s">
        <v>208</v>
      </c>
      <c r="E14" s="10" t="s">
        <v>208</v>
      </c>
      <c r="F14" s="10" t="s">
        <v>212</v>
      </c>
      <c r="G14" s="10" t="s">
        <v>212</v>
      </c>
      <c r="H14" s="10" t="s">
        <v>1</v>
      </c>
      <c r="I14" s="11" t="s">
        <v>216</v>
      </c>
    </row>
    <row r="15" spans="1:9" x14ac:dyDescent="0.3">
      <c r="A15" s="12" t="s">
        <v>217</v>
      </c>
      <c r="B15" s="13" t="s">
        <v>218</v>
      </c>
      <c r="C15" s="12" t="s">
        <v>81</v>
      </c>
      <c r="D15" s="12" t="s">
        <v>208</v>
      </c>
      <c r="E15" s="12" t="s">
        <v>208</v>
      </c>
      <c r="F15" s="12" t="s">
        <v>212</v>
      </c>
      <c r="G15" s="12" t="s">
        <v>212</v>
      </c>
      <c r="H15" s="12" t="s">
        <v>1</v>
      </c>
      <c r="I15" s="13" t="s">
        <v>219</v>
      </c>
    </row>
    <row r="16" spans="1:9" x14ac:dyDescent="0.3">
      <c r="A16" s="10" t="s">
        <v>220</v>
      </c>
      <c r="B16" s="11" t="s">
        <v>221</v>
      </c>
      <c r="C16" s="10" t="s">
        <v>81</v>
      </c>
      <c r="D16" s="10" t="s">
        <v>208</v>
      </c>
      <c r="E16" s="10" t="s">
        <v>208</v>
      </c>
      <c r="F16" s="10" t="s">
        <v>212</v>
      </c>
      <c r="G16" s="10" t="s">
        <v>212</v>
      </c>
      <c r="H16" s="10" t="s">
        <v>1</v>
      </c>
      <c r="I16" s="11" t="s">
        <v>222</v>
      </c>
    </row>
    <row r="17" spans="1:9" x14ac:dyDescent="0.3">
      <c r="A17" s="12" t="s">
        <v>223</v>
      </c>
      <c r="B17" s="13" t="s">
        <v>224</v>
      </c>
      <c r="C17" s="12" t="s">
        <v>81</v>
      </c>
      <c r="D17" s="12" t="s">
        <v>208</v>
      </c>
      <c r="E17" s="12" t="s">
        <v>208</v>
      </c>
      <c r="F17" s="12" t="s">
        <v>212</v>
      </c>
      <c r="G17" s="12" t="s">
        <v>212</v>
      </c>
      <c r="H17" s="12" t="s">
        <v>1</v>
      </c>
      <c r="I17" s="13" t="s">
        <v>225</v>
      </c>
    </row>
    <row r="18" spans="1:9" x14ac:dyDescent="0.3">
      <c r="A18" s="10" t="s">
        <v>226</v>
      </c>
      <c r="B18" s="11" t="s">
        <v>227</v>
      </c>
      <c r="C18" s="10" t="s">
        <v>81</v>
      </c>
      <c r="D18" s="10" t="s">
        <v>208</v>
      </c>
      <c r="E18" s="10" t="s">
        <v>208</v>
      </c>
      <c r="F18" s="10" t="s">
        <v>212</v>
      </c>
      <c r="G18" s="10" t="s">
        <v>212</v>
      </c>
      <c r="H18" s="10" t="s">
        <v>6</v>
      </c>
      <c r="I18" s="11" t="s">
        <v>228</v>
      </c>
    </row>
    <row r="19" spans="1:9" ht="28.8" x14ac:dyDescent="0.3">
      <c r="A19" s="12" t="s">
        <v>229</v>
      </c>
      <c r="B19" s="13" t="s">
        <v>230</v>
      </c>
      <c r="C19" s="12" t="s">
        <v>81</v>
      </c>
      <c r="D19" s="12" t="s">
        <v>208</v>
      </c>
      <c r="E19" s="12" t="s">
        <v>208</v>
      </c>
      <c r="F19" s="12" t="s">
        <v>212</v>
      </c>
      <c r="G19" s="12" t="s">
        <v>212</v>
      </c>
      <c r="H19" s="12" t="s">
        <v>1</v>
      </c>
      <c r="I19" s="13" t="s">
        <v>231</v>
      </c>
    </row>
    <row r="20" spans="1:9" ht="28.8" x14ac:dyDescent="0.3">
      <c r="A20" s="10" t="s">
        <v>232</v>
      </c>
      <c r="B20" s="11" t="s">
        <v>233</v>
      </c>
      <c r="C20" s="10" t="s">
        <v>81</v>
      </c>
      <c r="D20" s="10" t="s">
        <v>208</v>
      </c>
      <c r="E20" s="10" t="s">
        <v>198</v>
      </c>
      <c r="F20" s="10" t="s">
        <v>212</v>
      </c>
      <c r="G20" s="10" t="s">
        <v>212</v>
      </c>
      <c r="H20" s="10" t="s">
        <v>11</v>
      </c>
      <c r="I20" s="11" t="s">
        <v>234</v>
      </c>
    </row>
    <row r="21" spans="1:9" x14ac:dyDescent="0.3">
      <c r="A21" s="12" t="s">
        <v>235</v>
      </c>
      <c r="B21" s="13" t="s">
        <v>236</v>
      </c>
      <c r="C21" s="12" t="s">
        <v>81</v>
      </c>
      <c r="D21" s="12" t="s">
        <v>208</v>
      </c>
      <c r="E21" s="12" t="s">
        <v>208</v>
      </c>
      <c r="F21" s="12" t="s">
        <v>212</v>
      </c>
      <c r="G21" s="12" t="s">
        <v>212</v>
      </c>
      <c r="H21" s="12" t="s">
        <v>1</v>
      </c>
      <c r="I21" s="13" t="s">
        <v>237</v>
      </c>
    </row>
    <row r="22" spans="1:9" x14ac:dyDescent="0.3">
      <c r="A22" s="10" t="s">
        <v>238</v>
      </c>
      <c r="B22" s="11" t="s">
        <v>239</v>
      </c>
      <c r="C22" s="10" t="s">
        <v>81</v>
      </c>
      <c r="D22" s="10" t="s">
        <v>208</v>
      </c>
      <c r="E22" s="10" t="s">
        <v>198</v>
      </c>
      <c r="F22" s="10" t="s">
        <v>212</v>
      </c>
      <c r="G22" s="10" t="s">
        <v>212</v>
      </c>
      <c r="H22" s="10" t="s">
        <v>6</v>
      </c>
      <c r="I22" s="11" t="s">
        <v>240</v>
      </c>
    </row>
    <row r="23" spans="1:9" x14ac:dyDescent="0.3">
      <c r="A23" s="12" t="s">
        <v>241</v>
      </c>
      <c r="B23" s="13" t="s">
        <v>242</v>
      </c>
      <c r="C23" s="12" t="s">
        <v>81</v>
      </c>
      <c r="D23" s="12" t="s">
        <v>208</v>
      </c>
      <c r="E23" s="12" t="s">
        <v>198</v>
      </c>
      <c r="F23" s="12" t="s">
        <v>212</v>
      </c>
      <c r="G23" s="12" t="s">
        <v>212</v>
      </c>
      <c r="H23" s="12" t="s">
        <v>6</v>
      </c>
      <c r="I23" s="13" t="s">
        <v>243</v>
      </c>
    </row>
    <row r="24" spans="1:9" x14ac:dyDescent="0.3">
      <c r="A24" s="10" t="s">
        <v>244</v>
      </c>
      <c r="B24" s="11" t="s">
        <v>245</v>
      </c>
      <c r="C24" s="10" t="s">
        <v>81</v>
      </c>
      <c r="D24" s="10" t="s">
        <v>208</v>
      </c>
      <c r="E24" s="10" t="s">
        <v>208</v>
      </c>
      <c r="F24" s="10" t="s">
        <v>212</v>
      </c>
      <c r="G24" s="10" t="s">
        <v>212</v>
      </c>
      <c r="H24" s="10" t="s">
        <v>1</v>
      </c>
      <c r="I24" s="11" t="s">
        <v>246</v>
      </c>
    </row>
    <row r="25" spans="1:9" x14ac:dyDescent="0.3">
      <c r="A25" s="12" t="s">
        <v>247</v>
      </c>
      <c r="B25" s="13" t="s">
        <v>248</v>
      </c>
      <c r="C25" s="12" t="s">
        <v>134</v>
      </c>
      <c r="D25" s="12" t="s">
        <v>208</v>
      </c>
      <c r="E25" s="12" t="s">
        <v>208</v>
      </c>
      <c r="F25" s="12" t="s">
        <v>198</v>
      </c>
      <c r="G25" s="12" t="s">
        <v>212</v>
      </c>
      <c r="H25" s="12" t="s">
        <v>6</v>
      </c>
      <c r="I25" s="13" t="s">
        <v>249</v>
      </c>
    </row>
    <row r="26" spans="1:9" x14ac:dyDescent="0.3">
      <c r="A26" s="10" t="s">
        <v>250</v>
      </c>
      <c r="B26" s="11" t="s">
        <v>251</v>
      </c>
      <c r="C26" s="10" t="s">
        <v>148</v>
      </c>
      <c r="D26" s="10" t="s">
        <v>208</v>
      </c>
      <c r="E26" s="10" t="s">
        <v>198</v>
      </c>
      <c r="F26" s="10" t="s">
        <v>212</v>
      </c>
      <c r="G26" s="10" t="s">
        <v>212</v>
      </c>
      <c r="H26" s="10" t="s">
        <v>11</v>
      </c>
      <c r="I26" s="11" t="s">
        <v>252</v>
      </c>
    </row>
  </sheetData>
  <mergeCells count="3">
    <mergeCell ref="A1:I1"/>
    <mergeCell ref="A10:I10"/>
    <mergeCell ref="A3:E3"/>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8"/>
  <sheetViews>
    <sheetView showGridLines="0" topLeftCell="A71" workbookViewId="0">
      <selection sqref="A1:J1"/>
    </sheetView>
  </sheetViews>
  <sheetFormatPr defaultRowHeight="14.4" x14ac:dyDescent="0.3"/>
  <cols>
    <col min="1" max="1" width="20" customWidth="1"/>
    <col min="2" max="2" width="18" customWidth="1"/>
    <col min="3" max="3" width="16" customWidth="1"/>
    <col min="4" max="4" width="8" customWidth="1"/>
    <col min="5" max="5" width="16" customWidth="1"/>
    <col min="6" max="6" width="10" customWidth="1"/>
    <col min="7" max="7" width="8" customWidth="1"/>
    <col min="8" max="8" width="14" customWidth="1"/>
    <col min="9" max="9" width="34" customWidth="1"/>
    <col min="10" max="10" width="32" customWidth="1"/>
  </cols>
  <sheetData>
    <row r="1" spans="1:10" ht="22.05" customHeight="1" x14ac:dyDescent="0.3">
      <c r="A1" s="22" t="s">
        <v>253</v>
      </c>
      <c r="B1" s="21"/>
      <c r="C1" s="21"/>
      <c r="D1" s="21"/>
      <c r="E1" s="21"/>
      <c r="F1" s="21"/>
      <c r="G1" s="21"/>
      <c r="H1" s="21"/>
      <c r="I1" s="21"/>
      <c r="J1" s="21"/>
    </row>
    <row r="2" spans="1:10" x14ac:dyDescent="0.3">
      <c r="A2" s="1"/>
      <c r="B2" s="1"/>
      <c r="C2" s="1"/>
      <c r="D2" s="1"/>
      <c r="E2" s="1"/>
      <c r="F2" s="1"/>
      <c r="G2" s="1"/>
      <c r="H2" s="1"/>
      <c r="I2" s="1"/>
      <c r="J2" s="1"/>
    </row>
    <row r="3" spans="1:10" ht="22.05" customHeight="1" x14ac:dyDescent="0.3">
      <c r="A3" s="9" t="s">
        <v>254</v>
      </c>
      <c r="B3" s="9" t="s">
        <v>255</v>
      </c>
      <c r="C3" s="9" t="s">
        <v>256</v>
      </c>
      <c r="D3" s="9" t="s">
        <v>257</v>
      </c>
      <c r="E3" s="9" t="s">
        <v>258</v>
      </c>
      <c r="F3" s="9" t="s">
        <v>259</v>
      </c>
      <c r="G3" s="9" t="s">
        <v>260</v>
      </c>
      <c r="H3" s="9" t="s">
        <v>261</v>
      </c>
      <c r="I3" s="9" t="s">
        <v>262</v>
      </c>
      <c r="J3" s="9" t="s">
        <v>263</v>
      </c>
    </row>
    <row r="4" spans="1:10" ht="28.8" x14ac:dyDescent="0.3">
      <c r="A4" s="10" t="s">
        <v>264</v>
      </c>
      <c r="B4" s="10" t="s">
        <v>265</v>
      </c>
      <c r="C4" s="10" t="s">
        <v>266</v>
      </c>
      <c r="D4" s="10" t="s">
        <v>208</v>
      </c>
      <c r="E4" s="10" t="s">
        <v>267</v>
      </c>
      <c r="F4" s="10" t="s">
        <v>208</v>
      </c>
      <c r="G4" s="10" t="s">
        <v>212</v>
      </c>
      <c r="H4" s="10" t="s">
        <v>267</v>
      </c>
      <c r="I4" s="11" t="s">
        <v>268</v>
      </c>
      <c r="J4" s="11" t="s">
        <v>269</v>
      </c>
    </row>
    <row r="5" spans="1:10" x14ac:dyDescent="0.3">
      <c r="A5" s="12" t="s">
        <v>264</v>
      </c>
      <c r="B5" s="12" t="s">
        <v>270</v>
      </c>
      <c r="C5" s="12" t="s">
        <v>271</v>
      </c>
      <c r="D5" s="12" t="s">
        <v>267</v>
      </c>
      <c r="E5" s="12" t="s">
        <v>267</v>
      </c>
      <c r="F5" s="12" t="s">
        <v>267</v>
      </c>
      <c r="G5" s="12" t="s">
        <v>212</v>
      </c>
      <c r="H5" s="12" t="s">
        <v>267</v>
      </c>
      <c r="I5" s="13" t="s">
        <v>272</v>
      </c>
      <c r="J5" s="13" t="s">
        <v>267</v>
      </c>
    </row>
    <row r="6" spans="1:10" x14ac:dyDescent="0.3">
      <c r="A6" s="10" t="s">
        <v>264</v>
      </c>
      <c r="B6" s="10" t="s">
        <v>273</v>
      </c>
      <c r="C6" s="10" t="s">
        <v>271</v>
      </c>
      <c r="D6" s="10" t="s">
        <v>267</v>
      </c>
      <c r="E6" s="10" t="s">
        <v>267</v>
      </c>
      <c r="F6" s="10" t="s">
        <v>267</v>
      </c>
      <c r="G6" s="10" t="s">
        <v>208</v>
      </c>
      <c r="H6" s="10" t="s">
        <v>267</v>
      </c>
      <c r="I6" s="11" t="s">
        <v>274</v>
      </c>
      <c r="J6" s="11" t="s">
        <v>267</v>
      </c>
    </row>
    <row r="7" spans="1:10" x14ac:dyDescent="0.3">
      <c r="A7" s="12" t="s">
        <v>264</v>
      </c>
      <c r="B7" s="12" t="s">
        <v>275</v>
      </c>
      <c r="C7" s="12" t="s">
        <v>276</v>
      </c>
      <c r="D7" s="12" t="s">
        <v>267</v>
      </c>
      <c r="E7" s="12" t="s">
        <v>267</v>
      </c>
      <c r="F7" s="12" t="s">
        <v>267</v>
      </c>
      <c r="G7" s="12" t="s">
        <v>208</v>
      </c>
      <c r="H7" s="12" t="s">
        <v>267</v>
      </c>
      <c r="I7" s="13" t="s">
        <v>277</v>
      </c>
      <c r="J7" s="13" t="s">
        <v>267</v>
      </c>
    </row>
    <row r="8" spans="1:10" x14ac:dyDescent="0.3">
      <c r="A8" s="10" t="s">
        <v>264</v>
      </c>
      <c r="B8" s="10" t="s">
        <v>278</v>
      </c>
      <c r="C8" s="10" t="s">
        <v>279</v>
      </c>
      <c r="D8" s="10" t="s">
        <v>267</v>
      </c>
      <c r="E8" s="10" t="s">
        <v>267</v>
      </c>
      <c r="F8" s="10" t="s">
        <v>267</v>
      </c>
      <c r="G8" s="10" t="s">
        <v>212</v>
      </c>
      <c r="H8" s="10" t="s">
        <v>280</v>
      </c>
      <c r="I8" s="11" t="s">
        <v>281</v>
      </c>
      <c r="J8" s="11" t="s">
        <v>267</v>
      </c>
    </row>
    <row r="9" spans="1:10" x14ac:dyDescent="0.3">
      <c r="A9" s="12" t="s">
        <v>264</v>
      </c>
      <c r="B9" s="12" t="s">
        <v>282</v>
      </c>
      <c r="C9" s="12" t="s">
        <v>283</v>
      </c>
      <c r="D9" s="12" t="s">
        <v>267</v>
      </c>
      <c r="E9" s="12" t="s">
        <v>267</v>
      </c>
      <c r="F9" s="12" t="s">
        <v>267</v>
      </c>
      <c r="G9" s="12" t="s">
        <v>212</v>
      </c>
      <c r="H9" s="12" t="s">
        <v>284</v>
      </c>
      <c r="I9" s="13" t="s">
        <v>285</v>
      </c>
      <c r="J9" s="13" t="s">
        <v>267</v>
      </c>
    </row>
    <row r="10" spans="1:10" x14ac:dyDescent="0.3">
      <c r="A10" s="10" t="s">
        <v>264</v>
      </c>
      <c r="B10" s="10" t="s">
        <v>286</v>
      </c>
      <c r="C10" s="10" t="s">
        <v>283</v>
      </c>
      <c r="D10" s="10" t="s">
        <v>267</v>
      </c>
      <c r="E10" s="10" t="s">
        <v>267</v>
      </c>
      <c r="F10" s="10" t="s">
        <v>267</v>
      </c>
      <c r="G10" s="10" t="s">
        <v>212</v>
      </c>
      <c r="H10" s="10" t="s">
        <v>284</v>
      </c>
      <c r="I10" s="11" t="s">
        <v>285</v>
      </c>
      <c r="J10" s="11" t="s">
        <v>267</v>
      </c>
    </row>
    <row r="11" spans="1:10" x14ac:dyDescent="0.3">
      <c r="A11" s="12" t="s">
        <v>287</v>
      </c>
      <c r="B11" s="12" t="s">
        <v>288</v>
      </c>
      <c r="C11" s="12" t="s">
        <v>266</v>
      </c>
      <c r="D11" s="12" t="s">
        <v>208</v>
      </c>
      <c r="E11" s="12" t="s">
        <v>267</v>
      </c>
      <c r="F11" s="12" t="s">
        <v>208</v>
      </c>
      <c r="G11" s="12" t="s">
        <v>212</v>
      </c>
      <c r="H11" s="12" t="s">
        <v>267</v>
      </c>
      <c r="I11" s="13" t="s">
        <v>289</v>
      </c>
      <c r="J11" s="13" t="s">
        <v>290</v>
      </c>
    </row>
    <row r="12" spans="1:10" x14ac:dyDescent="0.3">
      <c r="A12" s="10" t="s">
        <v>287</v>
      </c>
      <c r="B12" s="10" t="s">
        <v>265</v>
      </c>
      <c r="C12" s="10" t="s">
        <v>291</v>
      </c>
      <c r="D12" s="10" t="s">
        <v>267</v>
      </c>
      <c r="E12" s="10" t="s">
        <v>292</v>
      </c>
      <c r="F12" s="10" t="s">
        <v>267</v>
      </c>
      <c r="G12" s="10" t="s">
        <v>212</v>
      </c>
      <c r="H12" s="10" t="s">
        <v>267</v>
      </c>
      <c r="I12" s="11" t="s">
        <v>293</v>
      </c>
      <c r="J12" s="11" t="s">
        <v>294</v>
      </c>
    </row>
    <row r="13" spans="1:10" x14ac:dyDescent="0.3">
      <c r="A13" s="12" t="s">
        <v>287</v>
      </c>
      <c r="B13" s="12" t="s">
        <v>295</v>
      </c>
      <c r="C13" s="12" t="s">
        <v>279</v>
      </c>
      <c r="D13" s="12" t="s">
        <v>267</v>
      </c>
      <c r="E13" s="12" t="s">
        <v>267</v>
      </c>
      <c r="F13" s="12" t="s">
        <v>267</v>
      </c>
      <c r="G13" s="12" t="s">
        <v>212</v>
      </c>
      <c r="H13" s="12" t="s">
        <v>267</v>
      </c>
      <c r="I13" s="13" t="s">
        <v>296</v>
      </c>
      <c r="J13" s="13" t="s">
        <v>267</v>
      </c>
    </row>
    <row r="14" spans="1:10" x14ac:dyDescent="0.3">
      <c r="A14" s="10" t="s">
        <v>287</v>
      </c>
      <c r="B14" s="10" t="s">
        <v>297</v>
      </c>
      <c r="C14" s="10" t="s">
        <v>276</v>
      </c>
      <c r="D14" s="10" t="s">
        <v>267</v>
      </c>
      <c r="E14" s="10" t="s">
        <v>267</v>
      </c>
      <c r="F14" s="10" t="s">
        <v>267</v>
      </c>
      <c r="G14" s="10" t="s">
        <v>212</v>
      </c>
      <c r="H14" s="10" t="s">
        <v>267</v>
      </c>
      <c r="I14" s="11" t="s">
        <v>298</v>
      </c>
      <c r="J14" s="11" t="s">
        <v>267</v>
      </c>
    </row>
    <row r="15" spans="1:10" x14ac:dyDescent="0.3">
      <c r="A15" s="12" t="s">
        <v>287</v>
      </c>
      <c r="B15" s="12" t="s">
        <v>299</v>
      </c>
      <c r="C15" s="12" t="s">
        <v>276</v>
      </c>
      <c r="D15" s="12" t="s">
        <v>267</v>
      </c>
      <c r="E15" s="12" t="s">
        <v>267</v>
      </c>
      <c r="F15" s="12" t="s">
        <v>208</v>
      </c>
      <c r="G15" s="12" t="s">
        <v>212</v>
      </c>
      <c r="H15" s="12" t="s">
        <v>267</v>
      </c>
      <c r="I15" s="13" t="s">
        <v>300</v>
      </c>
      <c r="J15" s="13" t="s">
        <v>301</v>
      </c>
    </row>
    <row r="16" spans="1:10" x14ac:dyDescent="0.3">
      <c r="A16" s="10" t="s">
        <v>287</v>
      </c>
      <c r="B16" s="10" t="s">
        <v>302</v>
      </c>
      <c r="C16" s="10" t="s">
        <v>303</v>
      </c>
      <c r="D16" s="10" t="s">
        <v>267</v>
      </c>
      <c r="E16" s="10" t="s">
        <v>267</v>
      </c>
      <c r="F16" s="10" t="s">
        <v>267</v>
      </c>
      <c r="G16" s="10" t="s">
        <v>212</v>
      </c>
      <c r="H16" s="10" t="s">
        <v>304</v>
      </c>
      <c r="I16" s="11" t="s">
        <v>305</v>
      </c>
      <c r="J16" s="11" t="s">
        <v>267</v>
      </c>
    </row>
    <row r="17" spans="1:10" x14ac:dyDescent="0.3">
      <c r="A17" s="12" t="s">
        <v>287</v>
      </c>
      <c r="B17" s="12" t="s">
        <v>306</v>
      </c>
      <c r="C17" s="12" t="s">
        <v>303</v>
      </c>
      <c r="D17" s="12" t="s">
        <v>267</v>
      </c>
      <c r="E17" s="12" t="s">
        <v>267</v>
      </c>
      <c r="F17" s="12" t="s">
        <v>267</v>
      </c>
      <c r="G17" s="12" t="s">
        <v>212</v>
      </c>
      <c r="H17" s="12" t="s">
        <v>304</v>
      </c>
      <c r="I17" s="13" t="s">
        <v>307</v>
      </c>
      <c r="J17" s="13" t="s">
        <v>267</v>
      </c>
    </row>
    <row r="18" spans="1:10" x14ac:dyDescent="0.3">
      <c r="A18" s="10" t="s">
        <v>308</v>
      </c>
      <c r="B18" s="10" t="s">
        <v>309</v>
      </c>
      <c r="C18" s="10" t="s">
        <v>266</v>
      </c>
      <c r="D18" s="10" t="s">
        <v>208</v>
      </c>
      <c r="E18" s="10" t="s">
        <v>267</v>
      </c>
      <c r="F18" s="10" t="s">
        <v>208</v>
      </c>
      <c r="G18" s="10" t="s">
        <v>212</v>
      </c>
      <c r="H18" s="10" t="s">
        <v>267</v>
      </c>
      <c r="I18" s="11" t="s">
        <v>310</v>
      </c>
      <c r="J18" s="11" t="s">
        <v>311</v>
      </c>
    </row>
    <row r="19" spans="1:10" x14ac:dyDescent="0.3">
      <c r="A19" s="12" t="s">
        <v>308</v>
      </c>
      <c r="B19" s="12" t="s">
        <v>265</v>
      </c>
      <c r="C19" s="12" t="s">
        <v>291</v>
      </c>
      <c r="D19" s="12" t="s">
        <v>267</v>
      </c>
      <c r="E19" s="12" t="s">
        <v>292</v>
      </c>
      <c r="F19" s="12" t="s">
        <v>208</v>
      </c>
      <c r="G19" s="12" t="s">
        <v>212</v>
      </c>
      <c r="H19" s="12" t="s">
        <v>267</v>
      </c>
      <c r="I19" s="13" t="s">
        <v>312</v>
      </c>
      <c r="J19" s="13" t="s">
        <v>267</v>
      </c>
    </row>
    <row r="20" spans="1:10" x14ac:dyDescent="0.3">
      <c r="A20" s="10" t="s">
        <v>308</v>
      </c>
      <c r="B20" s="10" t="s">
        <v>313</v>
      </c>
      <c r="C20" s="10" t="s">
        <v>314</v>
      </c>
      <c r="D20" s="10" t="s">
        <v>267</v>
      </c>
      <c r="E20" s="10" t="s">
        <v>267</v>
      </c>
      <c r="F20" s="10" t="s">
        <v>267</v>
      </c>
      <c r="G20" s="10" t="s">
        <v>212</v>
      </c>
      <c r="H20" s="10" t="s">
        <v>267</v>
      </c>
      <c r="I20" s="11" t="s">
        <v>315</v>
      </c>
      <c r="J20" s="11" t="s">
        <v>267</v>
      </c>
    </row>
    <row r="21" spans="1:10" x14ac:dyDescent="0.3">
      <c r="A21" s="12" t="s">
        <v>308</v>
      </c>
      <c r="B21" s="12" t="s">
        <v>316</v>
      </c>
      <c r="C21" s="12" t="s">
        <v>317</v>
      </c>
      <c r="D21" s="12" t="s">
        <v>267</v>
      </c>
      <c r="E21" s="12" t="s">
        <v>267</v>
      </c>
      <c r="F21" s="12" t="s">
        <v>267</v>
      </c>
      <c r="G21" s="12" t="s">
        <v>212</v>
      </c>
      <c r="H21" s="12" t="s">
        <v>318</v>
      </c>
      <c r="I21" s="13" t="s">
        <v>319</v>
      </c>
      <c r="J21" s="13" t="s">
        <v>267</v>
      </c>
    </row>
    <row r="22" spans="1:10" x14ac:dyDescent="0.3">
      <c r="A22" s="10" t="s">
        <v>308</v>
      </c>
      <c r="B22" s="10" t="s">
        <v>320</v>
      </c>
      <c r="C22" s="10" t="s">
        <v>283</v>
      </c>
      <c r="D22" s="10" t="s">
        <v>267</v>
      </c>
      <c r="E22" s="10" t="s">
        <v>267</v>
      </c>
      <c r="F22" s="10" t="s">
        <v>267</v>
      </c>
      <c r="G22" s="10" t="s">
        <v>208</v>
      </c>
      <c r="H22" s="10" t="s">
        <v>267</v>
      </c>
      <c r="I22" s="11" t="s">
        <v>321</v>
      </c>
      <c r="J22" s="11" t="s">
        <v>267</v>
      </c>
    </row>
    <row r="23" spans="1:10" x14ac:dyDescent="0.3">
      <c r="A23" s="12" t="s">
        <v>308</v>
      </c>
      <c r="B23" s="12" t="s">
        <v>322</v>
      </c>
      <c r="C23" s="12" t="s">
        <v>323</v>
      </c>
      <c r="D23" s="12" t="s">
        <v>267</v>
      </c>
      <c r="E23" s="12" t="s">
        <v>267</v>
      </c>
      <c r="F23" s="12" t="s">
        <v>267</v>
      </c>
      <c r="G23" s="12" t="s">
        <v>212</v>
      </c>
      <c r="H23" s="12" t="s">
        <v>324</v>
      </c>
      <c r="I23" s="13" t="s">
        <v>325</v>
      </c>
      <c r="J23" s="13" t="s">
        <v>267</v>
      </c>
    </row>
    <row r="24" spans="1:10" x14ac:dyDescent="0.3">
      <c r="A24" s="10" t="s">
        <v>308</v>
      </c>
      <c r="B24" s="10" t="s">
        <v>326</v>
      </c>
      <c r="C24" s="10" t="s">
        <v>283</v>
      </c>
      <c r="D24" s="10" t="s">
        <v>267</v>
      </c>
      <c r="E24" s="10" t="s">
        <v>267</v>
      </c>
      <c r="F24" s="10" t="s">
        <v>267</v>
      </c>
      <c r="G24" s="10" t="s">
        <v>208</v>
      </c>
      <c r="H24" s="10" t="s">
        <v>267</v>
      </c>
      <c r="I24" s="11" t="s">
        <v>327</v>
      </c>
      <c r="J24" s="11" t="s">
        <v>267</v>
      </c>
    </row>
    <row r="25" spans="1:10" x14ac:dyDescent="0.3">
      <c r="A25" s="12" t="s">
        <v>308</v>
      </c>
      <c r="B25" s="12" t="s">
        <v>328</v>
      </c>
      <c r="C25" s="12" t="s">
        <v>283</v>
      </c>
      <c r="D25" s="12" t="s">
        <v>267</v>
      </c>
      <c r="E25" s="12" t="s">
        <v>267</v>
      </c>
      <c r="F25" s="12" t="s">
        <v>267</v>
      </c>
      <c r="G25" s="12" t="s">
        <v>208</v>
      </c>
      <c r="H25" s="12" t="s">
        <v>267</v>
      </c>
      <c r="I25" s="13" t="s">
        <v>329</v>
      </c>
      <c r="J25" s="13" t="s">
        <v>267</v>
      </c>
    </row>
    <row r="26" spans="1:10" ht="28.8" x14ac:dyDescent="0.3">
      <c r="A26" s="10" t="s">
        <v>330</v>
      </c>
      <c r="B26" s="10" t="s">
        <v>331</v>
      </c>
      <c r="C26" s="10" t="s">
        <v>266</v>
      </c>
      <c r="D26" s="10" t="s">
        <v>208</v>
      </c>
      <c r="E26" s="10" t="s">
        <v>267</v>
      </c>
      <c r="F26" s="10" t="s">
        <v>208</v>
      </c>
      <c r="G26" s="10" t="s">
        <v>212</v>
      </c>
      <c r="H26" s="10" t="s">
        <v>267</v>
      </c>
      <c r="I26" s="11" t="s">
        <v>332</v>
      </c>
      <c r="J26" s="11" t="s">
        <v>333</v>
      </c>
    </row>
    <row r="27" spans="1:10" x14ac:dyDescent="0.3">
      <c r="A27" s="12" t="s">
        <v>330</v>
      </c>
      <c r="B27" s="12" t="s">
        <v>334</v>
      </c>
      <c r="C27" s="12" t="s">
        <v>335</v>
      </c>
      <c r="D27" s="12" t="s">
        <v>267</v>
      </c>
      <c r="E27" s="12" t="s">
        <v>267</v>
      </c>
      <c r="F27" s="12" t="s">
        <v>208</v>
      </c>
      <c r="G27" s="12" t="s">
        <v>212</v>
      </c>
      <c r="H27" s="12" t="s">
        <v>267</v>
      </c>
      <c r="I27" s="13" t="s">
        <v>336</v>
      </c>
      <c r="J27" s="13" t="s">
        <v>267</v>
      </c>
    </row>
    <row r="28" spans="1:10" x14ac:dyDescent="0.3">
      <c r="A28" s="10" t="s">
        <v>330</v>
      </c>
      <c r="B28" s="10" t="s">
        <v>337</v>
      </c>
      <c r="C28" s="10" t="s">
        <v>271</v>
      </c>
      <c r="D28" s="10" t="s">
        <v>267</v>
      </c>
      <c r="E28" s="10" t="s">
        <v>267</v>
      </c>
      <c r="F28" s="10" t="s">
        <v>267</v>
      </c>
      <c r="G28" s="10" t="s">
        <v>212</v>
      </c>
      <c r="H28" s="10" t="s">
        <v>267</v>
      </c>
      <c r="I28" s="11" t="s">
        <v>338</v>
      </c>
      <c r="J28" s="11" t="s">
        <v>267</v>
      </c>
    </row>
    <row r="29" spans="1:10" x14ac:dyDescent="0.3">
      <c r="A29" s="12" t="s">
        <v>330</v>
      </c>
      <c r="B29" s="12" t="s">
        <v>339</v>
      </c>
      <c r="C29" s="12" t="s">
        <v>340</v>
      </c>
      <c r="D29" s="12" t="s">
        <v>267</v>
      </c>
      <c r="E29" s="12" t="s">
        <v>267</v>
      </c>
      <c r="F29" s="12" t="s">
        <v>267</v>
      </c>
      <c r="G29" s="12" t="s">
        <v>208</v>
      </c>
      <c r="H29" s="12" t="s">
        <v>267</v>
      </c>
      <c r="I29" s="13" t="s">
        <v>341</v>
      </c>
      <c r="J29" s="13" t="s">
        <v>267</v>
      </c>
    </row>
    <row r="30" spans="1:10" x14ac:dyDescent="0.3">
      <c r="A30" s="10" t="s">
        <v>330</v>
      </c>
      <c r="B30" s="10" t="s">
        <v>342</v>
      </c>
      <c r="C30" s="10" t="s">
        <v>303</v>
      </c>
      <c r="D30" s="10" t="s">
        <v>267</v>
      </c>
      <c r="E30" s="10" t="s">
        <v>267</v>
      </c>
      <c r="F30" s="10" t="s">
        <v>267</v>
      </c>
      <c r="G30" s="10" t="s">
        <v>212</v>
      </c>
      <c r="H30" s="10" t="s">
        <v>304</v>
      </c>
      <c r="I30" s="11" t="s">
        <v>343</v>
      </c>
      <c r="J30" s="11" t="s">
        <v>267</v>
      </c>
    </row>
    <row r="31" spans="1:10" x14ac:dyDescent="0.3">
      <c r="A31" s="12" t="s">
        <v>330</v>
      </c>
      <c r="B31" s="12" t="s">
        <v>344</v>
      </c>
      <c r="C31" s="12" t="s">
        <v>303</v>
      </c>
      <c r="D31" s="12" t="s">
        <v>267</v>
      </c>
      <c r="E31" s="12" t="s">
        <v>267</v>
      </c>
      <c r="F31" s="12" t="s">
        <v>267</v>
      </c>
      <c r="G31" s="12" t="s">
        <v>212</v>
      </c>
      <c r="H31" s="12" t="s">
        <v>345</v>
      </c>
      <c r="I31" s="13" t="s">
        <v>346</v>
      </c>
      <c r="J31" s="13" t="s">
        <v>267</v>
      </c>
    </row>
    <row r="32" spans="1:10" x14ac:dyDescent="0.3">
      <c r="A32" s="10" t="s">
        <v>347</v>
      </c>
      <c r="B32" s="10" t="s">
        <v>348</v>
      </c>
      <c r="C32" s="10" t="s">
        <v>266</v>
      </c>
      <c r="D32" s="10" t="s">
        <v>208</v>
      </c>
      <c r="E32" s="10" t="s">
        <v>267</v>
      </c>
      <c r="F32" s="10" t="s">
        <v>208</v>
      </c>
      <c r="G32" s="10" t="s">
        <v>212</v>
      </c>
      <c r="H32" s="10" t="s">
        <v>267</v>
      </c>
      <c r="I32" s="11" t="s">
        <v>349</v>
      </c>
      <c r="J32" s="11" t="s">
        <v>350</v>
      </c>
    </row>
    <row r="33" spans="1:10" x14ac:dyDescent="0.3">
      <c r="A33" s="12" t="s">
        <v>347</v>
      </c>
      <c r="B33" s="12" t="s">
        <v>351</v>
      </c>
      <c r="C33" s="12" t="s">
        <v>271</v>
      </c>
      <c r="D33" s="12" t="s">
        <v>267</v>
      </c>
      <c r="E33" s="12" t="s">
        <v>267</v>
      </c>
      <c r="F33" s="12" t="s">
        <v>208</v>
      </c>
      <c r="G33" s="12" t="s">
        <v>212</v>
      </c>
      <c r="H33" s="12" t="s">
        <v>267</v>
      </c>
      <c r="I33" s="13" t="s">
        <v>352</v>
      </c>
      <c r="J33" s="13" t="s">
        <v>267</v>
      </c>
    </row>
    <row r="34" spans="1:10" x14ac:dyDescent="0.3">
      <c r="A34" s="10" t="s">
        <v>347</v>
      </c>
      <c r="B34" s="10" t="s">
        <v>353</v>
      </c>
      <c r="C34" s="10" t="s">
        <v>271</v>
      </c>
      <c r="D34" s="10" t="s">
        <v>267</v>
      </c>
      <c r="E34" s="10" t="s">
        <v>267</v>
      </c>
      <c r="F34" s="10" t="s">
        <v>267</v>
      </c>
      <c r="G34" s="10" t="s">
        <v>212</v>
      </c>
      <c r="H34" s="10" t="s">
        <v>267</v>
      </c>
      <c r="I34" s="11" t="s">
        <v>354</v>
      </c>
      <c r="J34" s="11" t="s">
        <v>267</v>
      </c>
    </row>
    <row r="35" spans="1:10" x14ac:dyDescent="0.3">
      <c r="A35" s="12" t="s">
        <v>347</v>
      </c>
      <c r="B35" s="12" t="s">
        <v>355</v>
      </c>
      <c r="C35" s="12" t="s">
        <v>271</v>
      </c>
      <c r="D35" s="12" t="s">
        <v>267</v>
      </c>
      <c r="E35" s="12" t="s">
        <v>267</v>
      </c>
      <c r="F35" s="12" t="s">
        <v>267</v>
      </c>
      <c r="G35" s="12" t="s">
        <v>212</v>
      </c>
      <c r="H35" s="12" t="s">
        <v>267</v>
      </c>
      <c r="I35" s="13" t="s">
        <v>356</v>
      </c>
      <c r="J35" s="13" t="s">
        <v>267</v>
      </c>
    </row>
    <row r="36" spans="1:10" x14ac:dyDescent="0.3">
      <c r="A36" s="10" t="s">
        <v>347</v>
      </c>
      <c r="B36" s="10" t="s">
        <v>339</v>
      </c>
      <c r="C36" s="10" t="s">
        <v>340</v>
      </c>
      <c r="D36" s="10" t="s">
        <v>267</v>
      </c>
      <c r="E36" s="10" t="s">
        <v>267</v>
      </c>
      <c r="F36" s="10" t="s">
        <v>267</v>
      </c>
      <c r="G36" s="10" t="s">
        <v>208</v>
      </c>
      <c r="H36" s="10" t="s">
        <v>267</v>
      </c>
      <c r="I36" s="11" t="s">
        <v>341</v>
      </c>
      <c r="J36" s="11" t="s">
        <v>267</v>
      </c>
    </row>
    <row r="37" spans="1:10" x14ac:dyDescent="0.3">
      <c r="A37" s="12" t="s">
        <v>347</v>
      </c>
      <c r="B37" s="12" t="s">
        <v>344</v>
      </c>
      <c r="C37" s="12" t="s">
        <v>303</v>
      </c>
      <c r="D37" s="12" t="s">
        <v>267</v>
      </c>
      <c r="E37" s="12" t="s">
        <v>267</v>
      </c>
      <c r="F37" s="12" t="s">
        <v>267</v>
      </c>
      <c r="G37" s="12" t="s">
        <v>212</v>
      </c>
      <c r="H37" s="12" t="s">
        <v>345</v>
      </c>
      <c r="I37" s="13" t="s">
        <v>346</v>
      </c>
      <c r="J37" s="13" t="s">
        <v>267</v>
      </c>
    </row>
    <row r="38" spans="1:10" x14ac:dyDescent="0.3">
      <c r="A38" s="10" t="s">
        <v>357</v>
      </c>
      <c r="B38" s="10" t="s">
        <v>358</v>
      </c>
      <c r="C38" s="10" t="s">
        <v>266</v>
      </c>
      <c r="D38" s="10" t="s">
        <v>208</v>
      </c>
      <c r="E38" s="10" t="s">
        <v>267</v>
      </c>
      <c r="F38" s="10" t="s">
        <v>208</v>
      </c>
      <c r="G38" s="10" t="s">
        <v>212</v>
      </c>
      <c r="H38" s="10" t="s">
        <v>267</v>
      </c>
      <c r="I38" s="11" t="s">
        <v>359</v>
      </c>
      <c r="J38" s="11" t="s">
        <v>360</v>
      </c>
    </row>
    <row r="39" spans="1:10" x14ac:dyDescent="0.3">
      <c r="A39" s="12" t="s">
        <v>357</v>
      </c>
      <c r="B39" s="12" t="s">
        <v>265</v>
      </c>
      <c r="C39" s="12" t="s">
        <v>291</v>
      </c>
      <c r="D39" s="12" t="s">
        <v>267</v>
      </c>
      <c r="E39" s="12" t="s">
        <v>292</v>
      </c>
      <c r="F39" s="12" t="s">
        <v>267</v>
      </c>
      <c r="G39" s="12" t="s">
        <v>212</v>
      </c>
      <c r="H39" s="12" t="s">
        <v>267</v>
      </c>
      <c r="I39" s="13" t="s">
        <v>361</v>
      </c>
      <c r="J39" s="13" t="s">
        <v>267</v>
      </c>
    </row>
    <row r="40" spans="1:10" x14ac:dyDescent="0.3">
      <c r="A40" s="10" t="s">
        <v>357</v>
      </c>
      <c r="B40" s="10" t="s">
        <v>331</v>
      </c>
      <c r="C40" s="10" t="s">
        <v>291</v>
      </c>
      <c r="D40" s="10" t="s">
        <v>267</v>
      </c>
      <c r="E40" s="10" t="s">
        <v>362</v>
      </c>
      <c r="F40" s="10" t="s">
        <v>267</v>
      </c>
      <c r="G40" s="10" t="s">
        <v>212</v>
      </c>
      <c r="H40" s="10" t="s">
        <v>267</v>
      </c>
      <c r="I40" s="11" t="s">
        <v>363</v>
      </c>
      <c r="J40" s="11" t="s">
        <v>267</v>
      </c>
    </row>
    <row r="41" spans="1:10" x14ac:dyDescent="0.3">
      <c r="A41" s="12" t="s">
        <v>357</v>
      </c>
      <c r="B41" s="12" t="s">
        <v>364</v>
      </c>
      <c r="C41" s="12" t="s">
        <v>291</v>
      </c>
      <c r="D41" s="12" t="s">
        <v>267</v>
      </c>
      <c r="E41" s="12" t="s">
        <v>292</v>
      </c>
      <c r="F41" s="12" t="s">
        <v>267</v>
      </c>
      <c r="G41" s="12" t="s">
        <v>208</v>
      </c>
      <c r="H41" s="12" t="s">
        <v>267</v>
      </c>
      <c r="I41" s="13" t="s">
        <v>365</v>
      </c>
      <c r="J41" s="13" t="s">
        <v>267</v>
      </c>
    </row>
    <row r="42" spans="1:10" x14ac:dyDescent="0.3">
      <c r="A42" s="10" t="s">
        <v>357</v>
      </c>
      <c r="B42" s="10" t="s">
        <v>366</v>
      </c>
      <c r="C42" s="10" t="s">
        <v>283</v>
      </c>
      <c r="D42" s="10" t="s">
        <v>267</v>
      </c>
      <c r="E42" s="10" t="s">
        <v>267</v>
      </c>
      <c r="F42" s="10" t="s">
        <v>267</v>
      </c>
      <c r="G42" s="10" t="s">
        <v>212</v>
      </c>
      <c r="H42" s="10" t="s">
        <v>284</v>
      </c>
      <c r="I42" s="11" t="s">
        <v>367</v>
      </c>
      <c r="J42" s="11" t="s">
        <v>267</v>
      </c>
    </row>
    <row r="43" spans="1:10" ht="28.8" x14ac:dyDescent="0.3">
      <c r="A43" s="12" t="s">
        <v>357</v>
      </c>
      <c r="B43" s="12" t="s">
        <v>344</v>
      </c>
      <c r="C43" s="12" t="s">
        <v>303</v>
      </c>
      <c r="D43" s="12" t="s">
        <v>267</v>
      </c>
      <c r="E43" s="12" t="s">
        <v>267</v>
      </c>
      <c r="F43" s="12" t="s">
        <v>267</v>
      </c>
      <c r="G43" s="12" t="s">
        <v>212</v>
      </c>
      <c r="H43" s="12" t="s">
        <v>345</v>
      </c>
      <c r="I43" s="13" t="s">
        <v>368</v>
      </c>
      <c r="J43" s="13" t="s">
        <v>369</v>
      </c>
    </row>
    <row r="44" spans="1:10" x14ac:dyDescent="0.3">
      <c r="A44" s="10" t="s">
        <v>370</v>
      </c>
      <c r="B44" s="10" t="s">
        <v>371</v>
      </c>
      <c r="C44" s="10" t="s">
        <v>266</v>
      </c>
      <c r="D44" s="10" t="s">
        <v>208</v>
      </c>
      <c r="E44" s="10" t="s">
        <v>267</v>
      </c>
      <c r="F44" s="10" t="s">
        <v>208</v>
      </c>
      <c r="G44" s="10" t="s">
        <v>212</v>
      </c>
      <c r="H44" s="10" t="s">
        <v>267</v>
      </c>
      <c r="I44" s="11" t="s">
        <v>359</v>
      </c>
      <c r="J44" s="11" t="s">
        <v>372</v>
      </c>
    </row>
    <row r="45" spans="1:10" x14ac:dyDescent="0.3">
      <c r="A45" s="12" t="s">
        <v>370</v>
      </c>
      <c r="B45" s="12" t="s">
        <v>331</v>
      </c>
      <c r="C45" s="12" t="s">
        <v>291</v>
      </c>
      <c r="D45" s="12" t="s">
        <v>267</v>
      </c>
      <c r="E45" s="12" t="s">
        <v>362</v>
      </c>
      <c r="F45" s="12" t="s">
        <v>267</v>
      </c>
      <c r="G45" s="12" t="s">
        <v>212</v>
      </c>
      <c r="H45" s="12" t="s">
        <v>267</v>
      </c>
      <c r="I45" s="13" t="s">
        <v>373</v>
      </c>
      <c r="J45" s="13" t="s">
        <v>267</v>
      </c>
    </row>
    <row r="46" spans="1:10" x14ac:dyDescent="0.3">
      <c r="A46" s="10" t="s">
        <v>370</v>
      </c>
      <c r="B46" s="10" t="s">
        <v>348</v>
      </c>
      <c r="C46" s="10" t="s">
        <v>291</v>
      </c>
      <c r="D46" s="10" t="s">
        <v>267</v>
      </c>
      <c r="E46" s="10" t="s">
        <v>374</v>
      </c>
      <c r="F46" s="10" t="s">
        <v>267</v>
      </c>
      <c r="G46" s="10" t="s">
        <v>212</v>
      </c>
      <c r="H46" s="10" t="s">
        <v>267</v>
      </c>
      <c r="I46" s="11" t="s">
        <v>375</v>
      </c>
      <c r="J46" s="11" t="s">
        <v>267</v>
      </c>
    </row>
    <row r="47" spans="1:10" x14ac:dyDescent="0.3">
      <c r="A47" s="12" t="s">
        <v>370</v>
      </c>
      <c r="B47" s="12" t="s">
        <v>376</v>
      </c>
      <c r="C47" s="12" t="s">
        <v>283</v>
      </c>
      <c r="D47" s="12" t="s">
        <v>267</v>
      </c>
      <c r="E47" s="12" t="s">
        <v>267</v>
      </c>
      <c r="F47" s="12" t="s">
        <v>267</v>
      </c>
      <c r="G47" s="12" t="s">
        <v>212</v>
      </c>
      <c r="H47" s="12" t="s">
        <v>284</v>
      </c>
      <c r="I47" s="13" t="s">
        <v>285</v>
      </c>
      <c r="J47" s="13" t="s">
        <v>267</v>
      </c>
    </row>
    <row r="48" spans="1:10" x14ac:dyDescent="0.3">
      <c r="A48" s="10" t="s">
        <v>370</v>
      </c>
      <c r="B48" s="10" t="s">
        <v>377</v>
      </c>
      <c r="C48" s="10" t="s">
        <v>291</v>
      </c>
      <c r="D48" s="10" t="s">
        <v>267</v>
      </c>
      <c r="E48" s="10" t="s">
        <v>292</v>
      </c>
      <c r="F48" s="10" t="s">
        <v>267</v>
      </c>
      <c r="G48" s="10" t="s">
        <v>208</v>
      </c>
      <c r="H48" s="10" t="s">
        <v>267</v>
      </c>
      <c r="I48" s="11" t="s">
        <v>378</v>
      </c>
      <c r="J48" s="11" t="s">
        <v>379</v>
      </c>
    </row>
    <row r="49" spans="1:10" x14ac:dyDescent="0.3">
      <c r="A49" s="12" t="s">
        <v>380</v>
      </c>
      <c r="B49" s="12" t="s">
        <v>381</v>
      </c>
      <c r="C49" s="12" t="s">
        <v>382</v>
      </c>
      <c r="D49" s="12" t="s">
        <v>208</v>
      </c>
      <c r="E49" s="12" t="s">
        <v>267</v>
      </c>
      <c r="F49" s="12" t="s">
        <v>208</v>
      </c>
      <c r="G49" s="12" t="s">
        <v>212</v>
      </c>
      <c r="H49" s="12" t="s">
        <v>267</v>
      </c>
      <c r="I49" s="13" t="s">
        <v>383</v>
      </c>
      <c r="J49" s="13" t="s">
        <v>290</v>
      </c>
    </row>
    <row r="50" spans="1:10" x14ac:dyDescent="0.3">
      <c r="A50" s="10" t="s">
        <v>380</v>
      </c>
      <c r="B50" s="10" t="s">
        <v>265</v>
      </c>
      <c r="C50" s="10" t="s">
        <v>291</v>
      </c>
      <c r="D50" s="10" t="s">
        <v>267</v>
      </c>
      <c r="E50" s="10" t="s">
        <v>292</v>
      </c>
      <c r="F50" s="10" t="s">
        <v>267</v>
      </c>
      <c r="G50" s="10" t="s">
        <v>212</v>
      </c>
      <c r="H50" s="10" t="s">
        <v>267</v>
      </c>
      <c r="I50" s="11" t="s">
        <v>384</v>
      </c>
      <c r="J50" s="11" t="s">
        <v>267</v>
      </c>
    </row>
    <row r="51" spans="1:10" x14ac:dyDescent="0.3">
      <c r="A51" s="12" t="s">
        <v>380</v>
      </c>
      <c r="B51" s="12" t="s">
        <v>385</v>
      </c>
      <c r="C51" s="12" t="s">
        <v>283</v>
      </c>
      <c r="D51" s="12" t="s">
        <v>267</v>
      </c>
      <c r="E51" s="12" t="s">
        <v>267</v>
      </c>
      <c r="F51" s="12" t="s">
        <v>267</v>
      </c>
      <c r="G51" s="12" t="s">
        <v>212</v>
      </c>
      <c r="H51" s="12" t="s">
        <v>284</v>
      </c>
      <c r="I51" s="13" t="s">
        <v>386</v>
      </c>
      <c r="J51" s="13" t="s">
        <v>267</v>
      </c>
    </row>
    <row r="52" spans="1:10" x14ac:dyDescent="0.3">
      <c r="A52" s="10" t="s">
        <v>380</v>
      </c>
      <c r="B52" s="10" t="s">
        <v>387</v>
      </c>
      <c r="C52" s="10" t="s">
        <v>283</v>
      </c>
      <c r="D52" s="10" t="s">
        <v>267</v>
      </c>
      <c r="E52" s="10" t="s">
        <v>267</v>
      </c>
      <c r="F52" s="10" t="s">
        <v>267</v>
      </c>
      <c r="G52" s="10" t="s">
        <v>208</v>
      </c>
      <c r="H52" s="10" t="s">
        <v>267</v>
      </c>
      <c r="I52" s="11" t="s">
        <v>388</v>
      </c>
      <c r="J52" s="11" t="s">
        <v>267</v>
      </c>
    </row>
    <row r="53" spans="1:10" x14ac:dyDescent="0.3">
      <c r="A53" s="12" t="s">
        <v>380</v>
      </c>
      <c r="B53" s="12" t="s">
        <v>389</v>
      </c>
      <c r="C53" s="12" t="s">
        <v>314</v>
      </c>
      <c r="D53" s="12" t="s">
        <v>267</v>
      </c>
      <c r="E53" s="12" t="s">
        <v>267</v>
      </c>
      <c r="F53" s="12" t="s">
        <v>267</v>
      </c>
      <c r="G53" s="12" t="s">
        <v>208</v>
      </c>
      <c r="H53" s="12" t="s">
        <v>267</v>
      </c>
      <c r="I53" s="13" t="s">
        <v>390</v>
      </c>
      <c r="J53" s="13" t="s">
        <v>267</v>
      </c>
    </row>
    <row r="54" spans="1:10" x14ac:dyDescent="0.3">
      <c r="A54" s="10" t="s">
        <v>380</v>
      </c>
      <c r="B54" s="10" t="s">
        <v>344</v>
      </c>
      <c r="C54" s="10" t="s">
        <v>303</v>
      </c>
      <c r="D54" s="10" t="s">
        <v>267</v>
      </c>
      <c r="E54" s="10" t="s">
        <v>267</v>
      </c>
      <c r="F54" s="10" t="s">
        <v>267</v>
      </c>
      <c r="G54" s="10" t="s">
        <v>212</v>
      </c>
      <c r="H54" s="10" t="s">
        <v>345</v>
      </c>
      <c r="I54" s="11" t="s">
        <v>391</v>
      </c>
      <c r="J54" s="11" t="s">
        <v>267</v>
      </c>
    </row>
    <row r="55" spans="1:10" x14ac:dyDescent="0.3">
      <c r="A55" s="12" t="s">
        <v>392</v>
      </c>
      <c r="B55" s="12" t="s">
        <v>393</v>
      </c>
      <c r="C55" s="12" t="s">
        <v>266</v>
      </c>
      <c r="D55" s="12" t="s">
        <v>208</v>
      </c>
      <c r="E55" s="12" t="s">
        <v>267</v>
      </c>
      <c r="F55" s="12" t="s">
        <v>208</v>
      </c>
      <c r="G55" s="12" t="s">
        <v>212</v>
      </c>
      <c r="H55" s="12" t="s">
        <v>267</v>
      </c>
      <c r="I55" s="13" t="s">
        <v>394</v>
      </c>
      <c r="J55" s="13" t="s">
        <v>395</v>
      </c>
    </row>
    <row r="56" spans="1:10" x14ac:dyDescent="0.3">
      <c r="A56" s="10" t="s">
        <v>392</v>
      </c>
      <c r="B56" s="10" t="s">
        <v>396</v>
      </c>
      <c r="C56" s="10" t="s">
        <v>291</v>
      </c>
      <c r="D56" s="10" t="s">
        <v>267</v>
      </c>
      <c r="E56" s="10" t="s">
        <v>292</v>
      </c>
      <c r="F56" s="10" t="s">
        <v>267</v>
      </c>
      <c r="G56" s="10" t="s">
        <v>208</v>
      </c>
      <c r="H56" s="10" t="s">
        <v>267</v>
      </c>
      <c r="I56" s="11" t="s">
        <v>397</v>
      </c>
      <c r="J56" s="11" t="s">
        <v>267</v>
      </c>
    </row>
    <row r="57" spans="1:10" x14ac:dyDescent="0.3">
      <c r="A57" s="12" t="s">
        <v>392</v>
      </c>
      <c r="B57" s="12" t="s">
        <v>398</v>
      </c>
      <c r="C57" s="12" t="s">
        <v>271</v>
      </c>
      <c r="D57" s="12" t="s">
        <v>267</v>
      </c>
      <c r="E57" s="12" t="s">
        <v>267</v>
      </c>
      <c r="F57" s="12" t="s">
        <v>267</v>
      </c>
      <c r="G57" s="12" t="s">
        <v>212</v>
      </c>
      <c r="H57" s="12" t="s">
        <v>267</v>
      </c>
      <c r="I57" s="13" t="s">
        <v>399</v>
      </c>
      <c r="J57" s="13" t="s">
        <v>267</v>
      </c>
    </row>
    <row r="58" spans="1:10" x14ac:dyDescent="0.3">
      <c r="A58" s="10" t="s">
        <v>392</v>
      </c>
      <c r="B58" s="10" t="s">
        <v>400</v>
      </c>
      <c r="C58" s="10" t="s">
        <v>271</v>
      </c>
      <c r="D58" s="10" t="s">
        <v>267</v>
      </c>
      <c r="E58" s="10" t="s">
        <v>267</v>
      </c>
      <c r="F58" s="10" t="s">
        <v>267</v>
      </c>
      <c r="G58" s="10" t="s">
        <v>208</v>
      </c>
      <c r="H58" s="10" t="s">
        <v>267</v>
      </c>
      <c r="I58" s="11" t="s">
        <v>401</v>
      </c>
      <c r="J58" s="11" t="s">
        <v>267</v>
      </c>
    </row>
    <row r="59" spans="1:10" x14ac:dyDescent="0.3">
      <c r="A59" s="12" t="s">
        <v>392</v>
      </c>
      <c r="B59" s="12" t="s">
        <v>402</v>
      </c>
      <c r="C59" s="12" t="s">
        <v>271</v>
      </c>
      <c r="D59" s="12" t="s">
        <v>267</v>
      </c>
      <c r="E59" s="12" t="s">
        <v>267</v>
      </c>
      <c r="F59" s="12" t="s">
        <v>267</v>
      </c>
      <c r="G59" s="12" t="s">
        <v>208</v>
      </c>
      <c r="H59" s="12" t="s">
        <v>267</v>
      </c>
      <c r="I59" s="13" t="s">
        <v>403</v>
      </c>
      <c r="J59" s="13" t="s">
        <v>267</v>
      </c>
    </row>
    <row r="60" spans="1:10" x14ac:dyDescent="0.3">
      <c r="A60" s="10" t="s">
        <v>392</v>
      </c>
      <c r="B60" s="10" t="s">
        <v>404</v>
      </c>
      <c r="C60" s="10" t="s">
        <v>405</v>
      </c>
      <c r="D60" s="10" t="s">
        <v>267</v>
      </c>
      <c r="E60" s="10" t="s">
        <v>267</v>
      </c>
      <c r="F60" s="10" t="s">
        <v>267</v>
      </c>
      <c r="G60" s="10" t="s">
        <v>208</v>
      </c>
      <c r="H60" s="10" t="s">
        <v>267</v>
      </c>
      <c r="I60" s="11" t="s">
        <v>406</v>
      </c>
      <c r="J60" s="11" t="s">
        <v>267</v>
      </c>
    </row>
    <row r="61" spans="1:10" x14ac:dyDescent="0.3">
      <c r="A61" s="12" t="s">
        <v>392</v>
      </c>
      <c r="B61" s="12" t="s">
        <v>407</v>
      </c>
      <c r="C61" s="12" t="s">
        <v>405</v>
      </c>
      <c r="D61" s="12" t="s">
        <v>267</v>
      </c>
      <c r="E61" s="12" t="s">
        <v>267</v>
      </c>
      <c r="F61" s="12" t="s">
        <v>267</v>
      </c>
      <c r="G61" s="12" t="s">
        <v>208</v>
      </c>
      <c r="H61" s="12" t="s">
        <v>267</v>
      </c>
      <c r="I61" s="13" t="s">
        <v>408</v>
      </c>
      <c r="J61" s="13" t="s">
        <v>267</v>
      </c>
    </row>
    <row r="62" spans="1:10" x14ac:dyDescent="0.3">
      <c r="A62" s="10" t="s">
        <v>392</v>
      </c>
      <c r="B62" s="10" t="s">
        <v>282</v>
      </c>
      <c r="C62" s="10" t="s">
        <v>283</v>
      </c>
      <c r="D62" s="10" t="s">
        <v>267</v>
      </c>
      <c r="E62" s="10" t="s">
        <v>267</v>
      </c>
      <c r="F62" s="10" t="s">
        <v>267</v>
      </c>
      <c r="G62" s="10" t="s">
        <v>212</v>
      </c>
      <c r="H62" s="10" t="s">
        <v>284</v>
      </c>
      <c r="I62" s="11" t="s">
        <v>409</v>
      </c>
      <c r="J62" s="11" t="s">
        <v>267</v>
      </c>
    </row>
    <row r="63" spans="1:10" x14ac:dyDescent="0.3">
      <c r="A63" s="12" t="s">
        <v>410</v>
      </c>
      <c r="B63" s="12" t="s">
        <v>411</v>
      </c>
      <c r="C63" s="12" t="s">
        <v>266</v>
      </c>
      <c r="D63" s="12" t="s">
        <v>208</v>
      </c>
      <c r="E63" s="12" t="s">
        <v>267</v>
      </c>
      <c r="F63" s="12" t="s">
        <v>208</v>
      </c>
      <c r="G63" s="12" t="s">
        <v>212</v>
      </c>
      <c r="H63" s="12" t="s">
        <v>267</v>
      </c>
      <c r="I63" s="13" t="s">
        <v>412</v>
      </c>
      <c r="J63" s="13" t="s">
        <v>413</v>
      </c>
    </row>
    <row r="64" spans="1:10" x14ac:dyDescent="0.3">
      <c r="A64" s="10" t="s">
        <v>410</v>
      </c>
      <c r="B64" s="10" t="s">
        <v>414</v>
      </c>
      <c r="C64" s="10" t="s">
        <v>271</v>
      </c>
      <c r="D64" s="10" t="s">
        <v>267</v>
      </c>
      <c r="E64" s="10" t="s">
        <v>267</v>
      </c>
      <c r="F64" s="10" t="s">
        <v>208</v>
      </c>
      <c r="G64" s="10" t="s">
        <v>212</v>
      </c>
      <c r="H64" s="10" t="s">
        <v>267</v>
      </c>
      <c r="I64" s="11" t="s">
        <v>415</v>
      </c>
      <c r="J64" s="11" t="s">
        <v>267</v>
      </c>
    </row>
    <row r="65" spans="1:10" x14ac:dyDescent="0.3">
      <c r="A65" s="12" t="s">
        <v>410</v>
      </c>
      <c r="B65" s="12" t="s">
        <v>416</v>
      </c>
      <c r="C65" s="12" t="s">
        <v>340</v>
      </c>
      <c r="D65" s="12" t="s">
        <v>267</v>
      </c>
      <c r="E65" s="12" t="s">
        <v>267</v>
      </c>
      <c r="F65" s="12" t="s">
        <v>267</v>
      </c>
      <c r="G65" s="12" t="s">
        <v>208</v>
      </c>
      <c r="H65" s="12" t="s">
        <v>267</v>
      </c>
      <c r="I65" s="13" t="s">
        <v>417</v>
      </c>
      <c r="J65" s="13" t="s">
        <v>267</v>
      </c>
    </row>
    <row r="66" spans="1:10" x14ac:dyDescent="0.3">
      <c r="A66" s="10" t="s">
        <v>410</v>
      </c>
      <c r="B66" s="10" t="s">
        <v>418</v>
      </c>
      <c r="C66" s="10" t="s">
        <v>317</v>
      </c>
      <c r="D66" s="10" t="s">
        <v>267</v>
      </c>
      <c r="E66" s="10" t="s">
        <v>267</v>
      </c>
      <c r="F66" s="10" t="s">
        <v>267</v>
      </c>
      <c r="G66" s="10" t="s">
        <v>212</v>
      </c>
      <c r="H66" s="10" t="s">
        <v>419</v>
      </c>
      <c r="I66" s="11" t="s">
        <v>420</v>
      </c>
      <c r="J66" s="11" t="s">
        <v>267</v>
      </c>
    </row>
    <row r="67" spans="1:10" x14ac:dyDescent="0.3">
      <c r="A67" s="12" t="s">
        <v>410</v>
      </c>
      <c r="B67" s="12" t="s">
        <v>421</v>
      </c>
      <c r="C67" s="12" t="s">
        <v>291</v>
      </c>
      <c r="D67" s="12" t="s">
        <v>267</v>
      </c>
      <c r="E67" s="12" t="s">
        <v>267</v>
      </c>
      <c r="F67" s="12" t="s">
        <v>267</v>
      </c>
      <c r="G67" s="12" t="s">
        <v>208</v>
      </c>
      <c r="H67" s="12" t="s">
        <v>267</v>
      </c>
      <c r="I67" s="13" t="s">
        <v>422</v>
      </c>
      <c r="J67" s="13" t="s">
        <v>267</v>
      </c>
    </row>
    <row r="68" spans="1:10" x14ac:dyDescent="0.3">
      <c r="A68" s="1"/>
      <c r="B68" s="1"/>
      <c r="C68" s="1"/>
      <c r="D68" s="1"/>
      <c r="E68" s="1"/>
      <c r="F68" s="1"/>
      <c r="G68" s="1"/>
      <c r="H68" s="1"/>
      <c r="I68" s="1"/>
      <c r="J68" s="1"/>
    </row>
    <row r="69" spans="1:10" x14ac:dyDescent="0.3">
      <c r="A69" s="1"/>
      <c r="B69" s="1"/>
      <c r="C69" s="1"/>
      <c r="D69" s="1"/>
      <c r="E69" s="1"/>
      <c r="F69" s="1"/>
      <c r="G69" s="1"/>
      <c r="H69" s="1"/>
      <c r="I69" s="1"/>
      <c r="J69" s="1"/>
    </row>
    <row r="70" spans="1:10" ht="18" customHeight="1" x14ac:dyDescent="0.3">
      <c r="A70" s="20" t="s">
        <v>423</v>
      </c>
      <c r="B70" s="21"/>
      <c r="C70" s="21"/>
      <c r="D70" s="21"/>
      <c r="E70" s="1"/>
      <c r="F70" s="1"/>
      <c r="G70" s="1"/>
      <c r="H70" s="1"/>
      <c r="I70" s="1"/>
      <c r="J70" s="1"/>
    </row>
    <row r="71" spans="1:10" ht="22.05" customHeight="1" x14ac:dyDescent="0.3">
      <c r="A71" s="9" t="s">
        <v>424</v>
      </c>
      <c r="B71" s="9" t="s">
        <v>425</v>
      </c>
      <c r="C71" s="9" t="s">
        <v>426</v>
      </c>
      <c r="D71" s="9" t="s">
        <v>427</v>
      </c>
      <c r="E71" s="1"/>
      <c r="F71" s="1"/>
      <c r="G71" s="1"/>
      <c r="H71" s="1"/>
      <c r="I71" s="1"/>
      <c r="J71" s="1"/>
    </row>
    <row r="72" spans="1:10" ht="86.4" x14ac:dyDescent="0.3">
      <c r="A72" s="10" t="s">
        <v>428</v>
      </c>
      <c r="B72" s="10" t="s">
        <v>429</v>
      </c>
      <c r="C72" s="11" t="s">
        <v>430</v>
      </c>
      <c r="D72" s="11" t="s">
        <v>431</v>
      </c>
      <c r="E72" s="1"/>
      <c r="F72" s="1"/>
      <c r="G72" s="1"/>
      <c r="H72" s="1"/>
      <c r="I72" s="1"/>
      <c r="J72" s="1"/>
    </row>
    <row r="73" spans="1:10" ht="72" x14ac:dyDescent="0.3">
      <c r="A73" s="12" t="s">
        <v>432</v>
      </c>
      <c r="B73" s="12" t="s">
        <v>433</v>
      </c>
      <c r="C73" s="13" t="s">
        <v>434</v>
      </c>
      <c r="D73" s="13" t="s">
        <v>435</v>
      </c>
      <c r="E73" s="1"/>
      <c r="F73" s="1"/>
      <c r="G73" s="1"/>
      <c r="H73" s="1"/>
      <c r="I73" s="1"/>
      <c r="J73" s="1"/>
    </row>
    <row r="74" spans="1:10" ht="72" x14ac:dyDescent="0.3">
      <c r="A74" s="10" t="s">
        <v>436</v>
      </c>
      <c r="B74" s="10" t="s">
        <v>429</v>
      </c>
      <c r="C74" s="11" t="s">
        <v>437</v>
      </c>
      <c r="D74" s="11" t="s">
        <v>438</v>
      </c>
      <c r="E74" s="1"/>
      <c r="F74" s="1"/>
      <c r="G74" s="1"/>
      <c r="H74" s="1"/>
      <c r="I74" s="1"/>
      <c r="J74" s="1"/>
    </row>
    <row r="75" spans="1:10" ht="43.2" x14ac:dyDescent="0.3">
      <c r="A75" s="12" t="s">
        <v>439</v>
      </c>
      <c r="B75" s="12" t="s">
        <v>429</v>
      </c>
      <c r="C75" s="13" t="s">
        <v>440</v>
      </c>
      <c r="D75" s="13" t="s">
        <v>441</v>
      </c>
      <c r="E75" s="1"/>
      <c r="F75" s="1"/>
      <c r="G75" s="1"/>
      <c r="H75" s="1"/>
      <c r="I75" s="1"/>
      <c r="J75" s="1"/>
    </row>
    <row r="76" spans="1:10" ht="57.6" x14ac:dyDescent="0.3">
      <c r="A76" s="10" t="s">
        <v>442</v>
      </c>
      <c r="B76" s="10" t="s">
        <v>429</v>
      </c>
      <c r="C76" s="11" t="s">
        <v>443</v>
      </c>
      <c r="D76" s="11" t="s">
        <v>444</v>
      </c>
      <c r="E76" s="1"/>
      <c r="F76" s="1"/>
      <c r="G76" s="1"/>
      <c r="H76" s="1"/>
      <c r="I76" s="1"/>
      <c r="J76" s="1"/>
    </row>
    <row r="77" spans="1:10" ht="100.8" x14ac:dyDescent="0.3">
      <c r="A77" s="12" t="s">
        <v>445</v>
      </c>
      <c r="B77" s="12" t="s">
        <v>429</v>
      </c>
      <c r="C77" s="13" t="s">
        <v>446</v>
      </c>
      <c r="D77" s="13" t="s">
        <v>447</v>
      </c>
      <c r="E77" s="1"/>
      <c r="F77" s="1"/>
      <c r="G77" s="1"/>
      <c r="H77" s="1"/>
      <c r="I77" s="1"/>
      <c r="J77" s="1"/>
    </row>
    <row r="78" spans="1:10" ht="57.6" x14ac:dyDescent="0.3">
      <c r="A78" s="10" t="s">
        <v>448</v>
      </c>
      <c r="B78" s="10" t="s">
        <v>429</v>
      </c>
      <c r="C78" s="11" t="s">
        <v>449</v>
      </c>
      <c r="D78" s="11" t="s">
        <v>450</v>
      </c>
      <c r="E78" s="1"/>
      <c r="F78" s="1"/>
      <c r="G78" s="1"/>
      <c r="H78" s="1"/>
      <c r="I78" s="1"/>
      <c r="J78" s="1"/>
    </row>
  </sheetData>
  <mergeCells count="2">
    <mergeCell ref="A1:J1"/>
    <mergeCell ref="A70:D70"/>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
  <sheetViews>
    <sheetView showGridLines="0" workbookViewId="0">
      <selection sqref="A1:G1"/>
    </sheetView>
  </sheetViews>
  <sheetFormatPr defaultRowHeight="14.4" x14ac:dyDescent="0.3"/>
  <cols>
    <col min="1" max="1" width="8" customWidth="1"/>
    <col min="2" max="2" width="24" customWidth="1"/>
    <col min="3" max="3" width="22" customWidth="1"/>
    <col min="4" max="4" width="28" customWidth="1"/>
    <col min="5" max="5" width="34" customWidth="1"/>
    <col min="6" max="6" width="30" customWidth="1"/>
    <col min="7" max="7" width="28" customWidth="1"/>
  </cols>
  <sheetData>
    <row r="1" spans="1:7" ht="22.05" customHeight="1" x14ac:dyDescent="0.3">
      <c r="A1" s="22" t="s">
        <v>451</v>
      </c>
      <c r="B1" s="21"/>
      <c r="C1" s="21"/>
      <c r="D1" s="21"/>
      <c r="E1" s="21"/>
      <c r="F1" s="21"/>
      <c r="G1" s="21"/>
    </row>
    <row r="2" spans="1:7" x14ac:dyDescent="0.3">
      <c r="A2" s="1"/>
      <c r="B2" s="1"/>
      <c r="C2" s="1"/>
      <c r="D2" s="1"/>
      <c r="E2" s="1"/>
      <c r="F2" s="1"/>
      <c r="G2" s="1"/>
    </row>
    <row r="3" spans="1:7" ht="22.05" customHeight="1" x14ac:dyDescent="0.3">
      <c r="A3" s="9" t="s">
        <v>452</v>
      </c>
      <c r="B3" s="9" t="s">
        <v>453</v>
      </c>
      <c r="C3" s="9" t="s">
        <v>454</v>
      </c>
      <c r="D3" s="9" t="s">
        <v>455</v>
      </c>
      <c r="E3" s="9" t="s">
        <v>189</v>
      </c>
      <c r="F3" s="9" t="s">
        <v>456</v>
      </c>
      <c r="G3" s="9" t="s">
        <v>90</v>
      </c>
    </row>
    <row r="4" spans="1:7" x14ac:dyDescent="0.3">
      <c r="A4" s="10">
        <v>1</v>
      </c>
      <c r="B4" s="10" t="s">
        <v>457</v>
      </c>
      <c r="C4" s="10" t="s">
        <v>458</v>
      </c>
      <c r="D4" s="10" t="s">
        <v>264</v>
      </c>
      <c r="E4" s="11" t="s">
        <v>459</v>
      </c>
      <c r="F4" s="11" t="s">
        <v>460</v>
      </c>
      <c r="G4" s="11" t="s">
        <v>461</v>
      </c>
    </row>
    <row r="5" spans="1:7" ht="28.8" x14ac:dyDescent="0.3">
      <c r="A5" s="12">
        <v>2</v>
      </c>
      <c r="B5" s="12" t="s">
        <v>462</v>
      </c>
      <c r="C5" s="12" t="s">
        <v>458</v>
      </c>
      <c r="D5" s="12" t="s">
        <v>287</v>
      </c>
      <c r="E5" s="13" t="s">
        <v>463</v>
      </c>
      <c r="F5" s="13" t="s">
        <v>464</v>
      </c>
      <c r="G5" s="13" t="s">
        <v>465</v>
      </c>
    </row>
    <row r="6" spans="1:7" ht="28.8" x14ac:dyDescent="0.3">
      <c r="A6" s="10">
        <v>3</v>
      </c>
      <c r="B6" s="10" t="s">
        <v>466</v>
      </c>
      <c r="C6" s="10" t="s">
        <v>458</v>
      </c>
      <c r="D6" s="10" t="s">
        <v>308</v>
      </c>
      <c r="E6" s="11" t="s">
        <v>467</v>
      </c>
      <c r="F6" s="11" t="s">
        <v>468</v>
      </c>
      <c r="G6" s="11" t="s">
        <v>469</v>
      </c>
    </row>
    <row r="7" spans="1:7" ht="28.8" x14ac:dyDescent="0.3">
      <c r="A7" s="12">
        <v>4</v>
      </c>
      <c r="B7" s="12" t="s">
        <v>470</v>
      </c>
      <c r="C7" s="12" t="s">
        <v>471</v>
      </c>
      <c r="D7" s="12" t="s">
        <v>330</v>
      </c>
      <c r="E7" s="13" t="s">
        <v>472</v>
      </c>
      <c r="F7" s="13" t="s">
        <v>473</v>
      </c>
      <c r="G7" s="13" t="s">
        <v>474</v>
      </c>
    </row>
    <row r="8" spans="1:7" ht="28.8" x14ac:dyDescent="0.3">
      <c r="A8" s="10">
        <v>5</v>
      </c>
      <c r="B8" s="10" t="s">
        <v>475</v>
      </c>
      <c r="C8" s="10" t="s">
        <v>471</v>
      </c>
      <c r="D8" s="10" t="s">
        <v>347</v>
      </c>
      <c r="E8" s="11" t="s">
        <v>476</v>
      </c>
      <c r="F8" s="11" t="s">
        <v>473</v>
      </c>
      <c r="G8" s="11" t="s">
        <v>477</v>
      </c>
    </row>
    <row r="9" spans="1:7" x14ac:dyDescent="0.3">
      <c r="A9" s="12">
        <v>6</v>
      </c>
      <c r="B9" s="12" t="s">
        <v>478</v>
      </c>
      <c r="C9" s="12" t="s">
        <v>458</v>
      </c>
      <c r="D9" s="12" t="s">
        <v>357</v>
      </c>
      <c r="E9" s="13" t="s">
        <v>479</v>
      </c>
      <c r="F9" s="13" t="s">
        <v>480</v>
      </c>
      <c r="G9" s="13" t="s">
        <v>481</v>
      </c>
    </row>
    <row r="10" spans="1:7" x14ac:dyDescent="0.3">
      <c r="A10" s="10">
        <v>7</v>
      </c>
      <c r="B10" s="10" t="s">
        <v>482</v>
      </c>
      <c r="C10" s="10" t="s">
        <v>458</v>
      </c>
      <c r="D10" s="10" t="s">
        <v>370</v>
      </c>
      <c r="E10" s="11" t="s">
        <v>483</v>
      </c>
      <c r="F10" s="11" t="s">
        <v>484</v>
      </c>
      <c r="G10" s="11" t="s">
        <v>485</v>
      </c>
    </row>
    <row r="11" spans="1:7" ht="28.8" x14ac:dyDescent="0.3">
      <c r="A11" s="12">
        <v>8</v>
      </c>
      <c r="B11" s="12" t="s">
        <v>486</v>
      </c>
      <c r="C11" s="12" t="s">
        <v>458</v>
      </c>
      <c r="D11" s="12" t="s">
        <v>380</v>
      </c>
      <c r="E11" s="13" t="s">
        <v>487</v>
      </c>
      <c r="F11" s="13" t="s">
        <v>488</v>
      </c>
      <c r="G11" s="13" t="s">
        <v>489</v>
      </c>
    </row>
    <row r="12" spans="1:7" ht="28.8" x14ac:dyDescent="0.3">
      <c r="A12" s="10">
        <v>9</v>
      </c>
      <c r="B12" s="10" t="s">
        <v>490</v>
      </c>
      <c r="C12" s="10" t="s">
        <v>458</v>
      </c>
      <c r="D12" s="10" t="s">
        <v>392</v>
      </c>
      <c r="E12" s="11" t="s">
        <v>491</v>
      </c>
      <c r="F12" s="11" t="s">
        <v>492</v>
      </c>
      <c r="G12" s="11" t="s">
        <v>493</v>
      </c>
    </row>
    <row r="13" spans="1:7" ht="28.8" x14ac:dyDescent="0.3">
      <c r="A13" s="12">
        <v>10</v>
      </c>
      <c r="B13" s="12" t="s">
        <v>494</v>
      </c>
      <c r="C13" s="12" t="s">
        <v>458</v>
      </c>
      <c r="D13" s="12" t="s">
        <v>410</v>
      </c>
      <c r="E13" s="13" t="s">
        <v>495</v>
      </c>
      <c r="F13" s="13" t="s">
        <v>496</v>
      </c>
      <c r="G13" s="13" t="s">
        <v>497</v>
      </c>
    </row>
    <row r="14" spans="1:7" ht="28.8" x14ac:dyDescent="0.3">
      <c r="A14" s="10">
        <v>11</v>
      </c>
      <c r="B14" s="10" t="s">
        <v>498</v>
      </c>
      <c r="C14" s="10" t="s">
        <v>499</v>
      </c>
      <c r="D14" s="10" t="s">
        <v>500</v>
      </c>
      <c r="E14" s="11" t="s">
        <v>501</v>
      </c>
      <c r="F14" s="11" t="s">
        <v>502</v>
      </c>
      <c r="G14" s="11" t="s">
        <v>503</v>
      </c>
    </row>
    <row r="15" spans="1:7" ht="28.8" x14ac:dyDescent="0.3">
      <c r="A15" s="12">
        <v>12</v>
      </c>
      <c r="B15" s="12" t="s">
        <v>504</v>
      </c>
      <c r="C15" s="12" t="s">
        <v>505</v>
      </c>
      <c r="D15" s="12" t="s">
        <v>506</v>
      </c>
      <c r="E15" s="13" t="s">
        <v>507</v>
      </c>
      <c r="F15" s="13" t="s">
        <v>508</v>
      </c>
      <c r="G15" s="13" t="s">
        <v>509</v>
      </c>
    </row>
  </sheetData>
  <mergeCells count="1">
    <mergeCell ref="A1:G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showGridLines="0" tabSelected="1" workbookViewId="0">
      <selection sqref="A1:G1"/>
    </sheetView>
  </sheetViews>
  <sheetFormatPr defaultRowHeight="14.4" x14ac:dyDescent="0.3"/>
  <cols>
    <col min="1" max="1" width="12" customWidth="1"/>
    <col min="2" max="2" width="24" customWidth="1"/>
    <col min="3" max="3" width="42" customWidth="1"/>
    <col min="4" max="6" width="14" customWidth="1"/>
    <col min="7" max="7" width="42" customWidth="1"/>
  </cols>
  <sheetData>
    <row r="1" spans="1:7" ht="22.05" customHeight="1" x14ac:dyDescent="0.3">
      <c r="A1" s="22" t="s">
        <v>510</v>
      </c>
      <c r="B1" s="21"/>
      <c r="C1" s="21"/>
      <c r="D1" s="21"/>
      <c r="E1" s="21"/>
      <c r="F1" s="21"/>
      <c r="G1" s="21"/>
    </row>
    <row r="2" spans="1:7" x14ac:dyDescent="0.3">
      <c r="A2" s="1"/>
      <c r="B2" s="1"/>
      <c r="C2" s="1"/>
      <c r="D2" s="1"/>
      <c r="E2" s="1"/>
      <c r="F2" s="1"/>
      <c r="G2" s="1"/>
    </row>
    <row r="3" spans="1:7" ht="22.05" customHeight="1" x14ac:dyDescent="0.3">
      <c r="A3" s="9" t="s">
        <v>511</v>
      </c>
      <c r="B3" s="9" t="s">
        <v>512</v>
      </c>
      <c r="C3" s="9" t="s">
        <v>513</v>
      </c>
      <c r="D3" s="9" t="s">
        <v>514</v>
      </c>
      <c r="E3" s="9" t="s">
        <v>515</v>
      </c>
      <c r="F3" s="9" t="s">
        <v>516</v>
      </c>
      <c r="G3" s="9" t="s">
        <v>517</v>
      </c>
    </row>
    <row r="4" spans="1:7" ht="28.8" x14ac:dyDescent="0.3">
      <c r="A4" s="10" t="s">
        <v>518</v>
      </c>
      <c r="B4" s="10" t="s">
        <v>519</v>
      </c>
      <c r="C4" s="11" t="s">
        <v>520</v>
      </c>
      <c r="D4" s="14">
        <v>46119</v>
      </c>
      <c r="E4" s="15">
        <v>5</v>
      </c>
      <c r="F4" s="16">
        <f t="shared" ref="F4:F9" si="0">D4+E4-1</f>
        <v>46123</v>
      </c>
      <c r="G4" s="11" t="s">
        <v>521</v>
      </c>
    </row>
    <row r="5" spans="1:7" ht="28.8" x14ac:dyDescent="0.3">
      <c r="A5" s="12" t="s">
        <v>522</v>
      </c>
      <c r="B5" s="12" t="s">
        <v>523</v>
      </c>
      <c r="C5" s="13" t="s">
        <v>524</v>
      </c>
      <c r="D5" s="17">
        <v>46124</v>
      </c>
      <c r="E5" s="18">
        <v>5</v>
      </c>
      <c r="F5" s="19">
        <f t="shared" si="0"/>
        <v>46128</v>
      </c>
      <c r="G5" s="13" t="s">
        <v>525</v>
      </c>
    </row>
    <row r="6" spans="1:7" ht="28.8" x14ac:dyDescent="0.3">
      <c r="A6" s="10" t="s">
        <v>526</v>
      </c>
      <c r="B6" s="10" t="s">
        <v>527</v>
      </c>
      <c r="C6" s="11" t="s">
        <v>528</v>
      </c>
      <c r="D6" s="14">
        <v>46129</v>
      </c>
      <c r="E6" s="15">
        <v>6</v>
      </c>
      <c r="F6" s="16">
        <f t="shared" si="0"/>
        <v>46134</v>
      </c>
      <c r="G6" s="11" t="s">
        <v>529</v>
      </c>
    </row>
    <row r="7" spans="1:7" ht="28.8" x14ac:dyDescent="0.3">
      <c r="A7" s="12" t="s">
        <v>530</v>
      </c>
      <c r="B7" s="12" t="s">
        <v>531</v>
      </c>
      <c r="C7" s="13" t="s">
        <v>532</v>
      </c>
      <c r="D7" s="17">
        <v>46135</v>
      </c>
      <c r="E7" s="18">
        <v>8</v>
      </c>
      <c r="F7" s="19">
        <f t="shared" si="0"/>
        <v>46142</v>
      </c>
      <c r="G7" s="13" t="s">
        <v>533</v>
      </c>
    </row>
    <row r="8" spans="1:7" ht="28.8" x14ac:dyDescent="0.3">
      <c r="A8" s="10" t="s">
        <v>534</v>
      </c>
      <c r="B8" s="10" t="s">
        <v>535</v>
      </c>
      <c r="C8" s="11" t="s">
        <v>536</v>
      </c>
      <c r="D8" s="14">
        <v>46143</v>
      </c>
      <c r="E8" s="15">
        <v>6</v>
      </c>
      <c r="F8" s="16">
        <f t="shared" si="0"/>
        <v>46148</v>
      </c>
      <c r="G8" s="11" t="s">
        <v>537</v>
      </c>
    </row>
    <row r="9" spans="1:7" ht="28.8" x14ac:dyDescent="0.3">
      <c r="A9" s="12" t="s">
        <v>538</v>
      </c>
      <c r="B9" s="12" t="s">
        <v>539</v>
      </c>
      <c r="C9" s="13" t="s">
        <v>540</v>
      </c>
      <c r="D9" s="17">
        <v>46149</v>
      </c>
      <c r="E9" s="18">
        <v>5</v>
      </c>
      <c r="F9" s="19">
        <f t="shared" si="0"/>
        <v>46153</v>
      </c>
      <c r="G9" s="13" t="s">
        <v>541</v>
      </c>
    </row>
  </sheetData>
  <mergeCells count="1">
    <mergeCell ref="A1:G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5"/>
  <sheetViews>
    <sheetView showGridLines="0" topLeftCell="A8" workbookViewId="0">
      <selection sqref="A1:J1"/>
    </sheetView>
  </sheetViews>
  <sheetFormatPr defaultRowHeight="14.4" x14ac:dyDescent="0.3"/>
  <cols>
    <col min="1" max="1" width="9" customWidth="1"/>
    <col min="2" max="2" width="12" customWidth="1"/>
    <col min="3" max="3" width="40" customWidth="1"/>
    <col min="4" max="4" width="12" customWidth="1"/>
    <col min="5" max="5" width="16" customWidth="1"/>
    <col min="6" max="7" width="14" customWidth="1"/>
    <col min="8" max="8" width="12" customWidth="1"/>
    <col min="9" max="9" width="30" customWidth="1"/>
    <col min="10" max="10" width="14" customWidth="1"/>
  </cols>
  <sheetData>
    <row r="1" spans="1:10" ht="22.05" customHeight="1" x14ac:dyDescent="0.3">
      <c r="A1" s="22" t="s">
        <v>542</v>
      </c>
      <c r="B1" s="21"/>
      <c r="C1" s="21"/>
      <c r="D1" s="21"/>
      <c r="E1" s="21"/>
      <c r="F1" s="21"/>
      <c r="G1" s="21"/>
      <c r="H1" s="21"/>
      <c r="I1" s="21"/>
      <c r="J1" s="21"/>
    </row>
    <row r="2" spans="1:10" x14ac:dyDescent="0.3">
      <c r="A2" s="1"/>
      <c r="B2" s="1"/>
      <c r="C2" s="1"/>
      <c r="D2" s="1"/>
      <c r="E2" s="1"/>
      <c r="F2" s="1"/>
      <c r="G2" s="1"/>
      <c r="H2" s="1"/>
      <c r="I2" s="1"/>
      <c r="J2" s="1"/>
    </row>
    <row r="3" spans="1:10" ht="22.05" customHeight="1" x14ac:dyDescent="0.3">
      <c r="A3" s="9" t="s">
        <v>543</v>
      </c>
      <c r="B3" s="9" t="s">
        <v>512</v>
      </c>
      <c r="C3" s="9" t="s">
        <v>544</v>
      </c>
      <c r="D3" s="9" t="s">
        <v>545</v>
      </c>
      <c r="E3" s="9" t="s">
        <v>546</v>
      </c>
      <c r="F3" s="9" t="s">
        <v>547</v>
      </c>
      <c r="G3" s="9" t="s">
        <v>548</v>
      </c>
      <c r="H3" s="9" t="s">
        <v>549</v>
      </c>
      <c r="I3" s="9" t="s">
        <v>550</v>
      </c>
      <c r="J3" s="9" t="s">
        <v>551</v>
      </c>
    </row>
    <row r="4" spans="1:10" ht="28.8" x14ac:dyDescent="0.3">
      <c r="A4" s="10" t="s">
        <v>552</v>
      </c>
      <c r="B4" s="10" t="s">
        <v>518</v>
      </c>
      <c r="C4" s="11" t="s">
        <v>553</v>
      </c>
      <c r="D4" s="10">
        <v>1</v>
      </c>
      <c r="E4" s="10" t="s">
        <v>554</v>
      </c>
      <c r="F4" s="16">
        <f>README!$B$4</f>
        <v>46119</v>
      </c>
      <c r="G4" s="16">
        <f t="shared" ref="G4:G25" si="0">F4+D4-1</f>
        <v>46119</v>
      </c>
      <c r="H4" s="10" t="s">
        <v>555</v>
      </c>
      <c r="I4" s="11" t="s">
        <v>556</v>
      </c>
      <c r="J4" s="10" t="s">
        <v>0</v>
      </c>
    </row>
    <row r="5" spans="1:10" ht="28.8" x14ac:dyDescent="0.3">
      <c r="A5" s="12" t="s">
        <v>557</v>
      </c>
      <c r="B5" s="12" t="s">
        <v>518</v>
      </c>
      <c r="C5" s="13" t="s">
        <v>558</v>
      </c>
      <c r="D5" s="12">
        <v>1</v>
      </c>
      <c r="E5" s="12" t="s">
        <v>559</v>
      </c>
      <c r="F5" s="19">
        <f t="shared" ref="F5:F25" si="1">G4+1</f>
        <v>46120</v>
      </c>
      <c r="G5" s="19">
        <f t="shared" si="0"/>
        <v>46120</v>
      </c>
      <c r="H5" s="12" t="s">
        <v>552</v>
      </c>
      <c r="I5" s="13" t="s">
        <v>560</v>
      </c>
      <c r="J5" s="12" t="s">
        <v>0</v>
      </c>
    </row>
    <row r="6" spans="1:10" ht="28.8" x14ac:dyDescent="0.3">
      <c r="A6" s="10" t="s">
        <v>561</v>
      </c>
      <c r="B6" s="10" t="s">
        <v>518</v>
      </c>
      <c r="C6" s="11" t="s">
        <v>562</v>
      </c>
      <c r="D6" s="10">
        <v>2</v>
      </c>
      <c r="E6" s="10" t="s">
        <v>563</v>
      </c>
      <c r="F6" s="16">
        <f t="shared" si="1"/>
        <v>46121</v>
      </c>
      <c r="G6" s="16">
        <f t="shared" si="0"/>
        <v>46122</v>
      </c>
      <c r="H6" s="10" t="s">
        <v>557</v>
      </c>
      <c r="I6" s="11" t="s">
        <v>564</v>
      </c>
      <c r="J6" s="10" t="s">
        <v>0</v>
      </c>
    </row>
    <row r="7" spans="1:10" ht="28.8" x14ac:dyDescent="0.3">
      <c r="A7" s="12" t="s">
        <v>565</v>
      </c>
      <c r="B7" s="12" t="s">
        <v>518</v>
      </c>
      <c r="C7" s="13" t="s">
        <v>566</v>
      </c>
      <c r="D7" s="12">
        <v>1</v>
      </c>
      <c r="E7" s="12" t="s">
        <v>567</v>
      </c>
      <c r="F7" s="19">
        <f t="shared" si="1"/>
        <v>46123</v>
      </c>
      <c r="G7" s="19">
        <f t="shared" si="0"/>
        <v>46123</v>
      </c>
      <c r="H7" s="12" t="s">
        <v>552</v>
      </c>
      <c r="I7" s="13" t="s">
        <v>568</v>
      </c>
      <c r="J7" s="12" t="s">
        <v>0</v>
      </c>
    </row>
    <row r="8" spans="1:10" ht="28.8" x14ac:dyDescent="0.3">
      <c r="A8" s="10" t="s">
        <v>569</v>
      </c>
      <c r="B8" s="10" t="s">
        <v>522</v>
      </c>
      <c r="C8" s="11" t="s">
        <v>570</v>
      </c>
      <c r="D8" s="10">
        <v>2</v>
      </c>
      <c r="E8" s="10" t="s">
        <v>563</v>
      </c>
      <c r="F8" s="16">
        <f t="shared" si="1"/>
        <v>46124</v>
      </c>
      <c r="G8" s="16">
        <f t="shared" si="0"/>
        <v>46125</v>
      </c>
      <c r="H8" s="10" t="s">
        <v>561</v>
      </c>
      <c r="I8" s="11" t="s">
        <v>571</v>
      </c>
      <c r="J8" s="10" t="s">
        <v>0</v>
      </c>
    </row>
    <row r="9" spans="1:10" ht="28.8" x14ac:dyDescent="0.3">
      <c r="A9" s="12" t="s">
        <v>572</v>
      </c>
      <c r="B9" s="12" t="s">
        <v>522</v>
      </c>
      <c r="C9" s="13" t="s">
        <v>573</v>
      </c>
      <c r="D9" s="12">
        <v>1</v>
      </c>
      <c r="E9" s="12" t="s">
        <v>574</v>
      </c>
      <c r="F9" s="19">
        <f t="shared" si="1"/>
        <v>46126</v>
      </c>
      <c r="G9" s="19">
        <f t="shared" si="0"/>
        <v>46126</v>
      </c>
      <c r="H9" s="12" t="s">
        <v>569</v>
      </c>
      <c r="I9" s="13" t="s">
        <v>575</v>
      </c>
      <c r="J9" s="12" t="s">
        <v>0</v>
      </c>
    </row>
    <row r="10" spans="1:10" ht="28.8" x14ac:dyDescent="0.3">
      <c r="A10" s="10" t="s">
        <v>576</v>
      </c>
      <c r="B10" s="10" t="s">
        <v>522</v>
      </c>
      <c r="C10" s="11" t="s">
        <v>577</v>
      </c>
      <c r="D10" s="10">
        <v>2</v>
      </c>
      <c r="E10" s="10" t="s">
        <v>567</v>
      </c>
      <c r="F10" s="16">
        <f t="shared" si="1"/>
        <v>46127</v>
      </c>
      <c r="G10" s="16">
        <f t="shared" si="0"/>
        <v>46128</v>
      </c>
      <c r="H10" s="10" t="s">
        <v>569</v>
      </c>
      <c r="I10" s="11" t="s">
        <v>578</v>
      </c>
      <c r="J10" s="10" t="s">
        <v>0</v>
      </c>
    </row>
    <row r="11" spans="1:10" ht="28.8" x14ac:dyDescent="0.3">
      <c r="A11" s="12" t="s">
        <v>579</v>
      </c>
      <c r="B11" s="12" t="s">
        <v>526</v>
      </c>
      <c r="C11" s="13" t="s">
        <v>580</v>
      </c>
      <c r="D11" s="12">
        <v>1</v>
      </c>
      <c r="E11" s="12" t="s">
        <v>581</v>
      </c>
      <c r="F11" s="19">
        <f t="shared" si="1"/>
        <v>46129</v>
      </c>
      <c r="G11" s="19">
        <f t="shared" si="0"/>
        <v>46129</v>
      </c>
      <c r="H11" s="12" t="s">
        <v>565</v>
      </c>
      <c r="I11" s="13" t="s">
        <v>582</v>
      </c>
      <c r="J11" s="12" t="s">
        <v>0</v>
      </c>
    </row>
    <row r="12" spans="1:10" ht="28.8" x14ac:dyDescent="0.3">
      <c r="A12" s="10" t="s">
        <v>583</v>
      </c>
      <c r="B12" s="10" t="s">
        <v>526</v>
      </c>
      <c r="C12" s="11" t="s">
        <v>584</v>
      </c>
      <c r="D12" s="10">
        <v>2</v>
      </c>
      <c r="E12" s="10" t="s">
        <v>567</v>
      </c>
      <c r="F12" s="16">
        <f t="shared" si="1"/>
        <v>46130</v>
      </c>
      <c r="G12" s="16">
        <f t="shared" si="0"/>
        <v>46131</v>
      </c>
      <c r="H12" s="10" t="s">
        <v>576</v>
      </c>
      <c r="I12" s="11" t="s">
        <v>585</v>
      </c>
      <c r="J12" s="10" t="s">
        <v>0</v>
      </c>
    </row>
    <row r="13" spans="1:10" ht="28.8" x14ac:dyDescent="0.3">
      <c r="A13" s="12" t="s">
        <v>586</v>
      </c>
      <c r="B13" s="12" t="s">
        <v>526</v>
      </c>
      <c r="C13" s="13" t="s">
        <v>587</v>
      </c>
      <c r="D13" s="12">
        <v>2</v>
      </c>
      <c r="E13" s="12" t="s">
        <v>567</v>
      </c>
      <c r="F13" s="19">
        <f t="shared" si="1"/>
        <v>46132</v>
      </c>
      <c r="G13" s="19">
        <f t="shared" si="0"/>
        <v>46133</v>
      </c>
      <c r="H13" s="12" t="s">
        <v>583</v>
      </c>
      <c r="I13" s="13" t="s">
        <v>588</v>
      </c>
      <c r="J13" s="12" t="s">
        <v>0</v>
      </c>
    </row>
    <row r="14" spans="1:10" x14ac:dyDescent="0.3">
      <c r="A14" s="10" t="s">
        <v>589</v>
      </c>
      <c r="B14" s="10" t="s">
        <v>526</v>
      </c>
      <c r="C14" s="11" t="s">
        <v>590</v>
      </c>
      <c r="D14" s="10">
        <v>1</v>
      </c>
      <c r="E14" s="10" t="s">
        <v>591</v>
      </c>
      <c r="F14" s="16">
        <f t="shared" si="1"/>
        <v>46134</v>
      </c>
      <c r="G14" s="16">
        <f t="shared" si="0"/>
        <v>46134</v>
      </c>
      <c r="H14" s="10" t="s">
        <v>592</v>
      </c>
      <c r="I14" s="11" t="s">
        <v>593</v>
      </c>
      <c r="J14" s="10" t="s">
        <v>0</v>
      </c>
    </row>
    <row r="15" spans="1:10" ht="28.8" x14ac:dyDescent="0.3">
      <c r="A15" s="12" t="s">
        <v>594</v>
      </c>
      <c r="B15" s="12" t="s">
        <v>530</v>
      </c>
      <c r="C15" s="13" t="s">
        <v>595</v>
      </c>
      <c r="D15" s="12">
        <v>2</v>
      </c>
      <c r="E15" s="12" t="s">
        <v>596</v>
      </c>
      <c r="F15" s="19">
        <f t="shared" si="1"/>
        <v>46135</v>
      </c>
      <c r="G15" s="19">
        <f t="shared" si="0"/>
        <v>46136</v>
      </c>
      <c r="H15" s="12" t="s">
        <v>576</v>
      </c>
      <c r="I15" s="13" t="s">
        <v>597</v>
      </c>
      <c r="J15" s="12" t="s">
        <v>0</v>
      </c>
    </row>
    <row r="16" spans="1:10" ht="28.8" x14ac:dyDescent="0.3">
      <c r="A16" s="10" t="s">
        <v>598</v>
      </c>
      <c r="B16" s="10" t="s">
        <v>530</v>
      </c>
      <c r="C16" s="11" t="s">
        <v>599</v>
      </c>
      <c r="D16" s="10">
        <v>2</v>
      </c>
      <c r="E16" s="10" t="s">
        <v>596</v>
      </c>
      <c r="F16" s="16">
        <f t="shared" si="1"/>
        <v>46137</v>
      </c>
      <c r="G16" s="16">
        <f t="shared" si="0"/>
        <v>46138</v>
      </c>
      <c r="H16" s="10" t="s">
        <v>576</v>
      </c>
      <c r="I16" s="11" t="s">
        <v>600</v>
      </c>
      <c r="J16" s="10" t="s">
        <v>0</v>
      </c>
    </row>
    <row r="17" spans="1:10" ht="28.8" x14ac:dyDescent="0.3">
      <c r="A17" s="12" t="s">
        <v>601</v>
      </c>
      <c r="B17" s="12" t="s">
        <v>530</v>
      </c>
      <c r="C17" s="13" t="s">
        <v>602</v>
      </c>
      <c r="D17" s="12">
        <v>2</v>
      </c>
      <c r="E17" s="12" t="s">
        <v>596</v>
      </c>
      <c r="F17" s="19">
        <f t="shared" si="1"/>
        <v>46139</v>
      </c>
      <c r="G17" s="19">
        <f t="shared" si="0"/>
        <v>46140</v>
      </c>
      <c r="H17" s="12" t="s">
        <v>598</v>
      </c>
      <c r="I17" s="13" t="s">
        <v>603</v>
      </c>
      <c r="J17" s="12" t="s">
        <v>0</v>
      </c>
    </row>
    <row r="18" spans="1:10" ht="28.8" x14ac:dyDescent="0.3">
      <c r="A18" s="10" t="s">
        <v>604</v>
      </c>
      <c r="B18" s="10" t="s">
        <v>530</v>
      </c>
      <c r="C18" s="11" t="s">
        <v>605</v>
      </c>
      <c r="D18" s="10">
        <v>2</v>
      </c>
      <c r="E18" s="10" t="s">
        <v>567</v>
      </c>
      <c r="F18" s="16">
        <f t="shared" si="1"/>
        <v>46141</v>
      </c>
      <c r="G18" s="16">
        <f t="shared" si="0"/>
        <v>46142</v>
      </c>
      <c r="H18" s="10" t="s">
        <v>606</v>
      </c>
      <c r="I18" s="11" t="s">
        <v>607</v>
      </c>
      <c r="J18" s="10" t="s">
        <v>0</v>
      </c>
    </row>
    <row r="19" spans="1:10" ht="28.8" x14ac:dyDescent="0.3">
      <c r="A19" s="12" t="s">
        <v>608</v>
      </c>
      <c r="B19" s="12" t="s">
        <v>534</v>
      </c>
      <c r="C19" s="13" t="s">
        <v>609</v>
      </c>
      <c r="D19" s="12">
        <v>1</v>
      </c>
      <c r="E19" s="12" t="s">
        <v>567</v>
      </c>
      <c r="F19" s="19">
        <f t="shared" si="1"/>
        <v>46143</v>
      </c>
      <c r="G19" s="19">
        <f t="shared" si="0"/>
        <v>46143</v>
      </c>
      <c r="H19" s="12" t="s">
        <v>610</v>
      </c>
      <c r="I19" s="13" t="s">
        <v>611</v>
      </c>
      <c r="J19" s="12" t="s">
        <v>0</v>
      </c>
    </row>
    <row r="20" spans="1:10" ht="28.8" x14ac:dyDescent="0.3">
      <c r="A20" s="10" t="s">
        <v>612</v>
      </c>
      <c r="B20" s="10" t="s">
        <v>534</v>
      </c>
      <c r="C20" s="11" t="s">
        <v>613</v>
      </c>
      <c r="D20" s="10">
        <v>2</v>
      </c>
      <c r="E20" s="10" t="s">
        <v>581</v>
      </c>
      <c r="F20" s="16">
        <f t="shared" si="1"/>
        <v>46144</v>
      </c>
      <c r="G20" s="16">
        <f t="shared" si="0"/>
        <v>46145</v>
      </c>
      <c r="H20" s="10" t="s">
        <v>610</v>
      </c>
      <c r="I20" s="11" t="s">
        <v>614</v>
      </c>
      <c r="J20" s="10" t="s">
        <v>0</v>
      </c>
    </row>
    <row r="21" spans="1:10" x14ac:dyDescent="0.3">
      <c r="A21" s="12" t="s">
        <v>615</v>
      </c>
      <c r="B21" s="12" t="s">
        <v>534</v>
      </c>
      <c r="C21" s="13" t="s">
        <v>616</v>
      </c>
      <c r="D21" s="12">
        <v>1</v>
      </c>
      <c r="E21" s="12" t="s">
        <v>567</v>
      </c>
      <c r="F21" s="19">
        <f t="shared" si="1"/>
        <v>46146</v>
      </c>
      <c r="G21" s="19">
        <f t="shared" si="0"/>
        <v>46146</v>
      </c>
      <c r="H21" s="12" t="s">
        <v>608</v>
      </c>
      <c r="I21" s="13" t="s">
        <v>617</v>
      </c>
      <c r="J21" s="12" t="s">
        <v>0</v>
      </c>
    </row>
    <row r="22" spans="1:10" ht="28.8" x14ac:dyDescent="0.3">
      <c r="A22" s="10" t="s">
        <v>618</v>
      </c>
      <c r="B22" s="10" t="s">
        <v>534</v>
      </c>
      <c r="C22" s="11" t="s">
        <v>619</v>
      </c>
      <c r="D22" s="10">
        <v>2</v>
      </c>
      <c r="E22" s="10" t="s">
        <v>620</v>
      </c>
      <c r="F22" s="16">
        <f t="shared" si="1"/>
        <v>46147</v>
      </c>
      <c r="G22" s="16">
        <f t="shared" si="0"/>
        <v>46148</v>
      </c>
      <c r="H22" s="10" t="s">
        <v>604</v>
      </c>
      <c r="I22" s="11" t="s">
        <v>621</v>
      </c>
      <c r="J22" s="10" t="s">
        <v>0</v>
      </c>
    </row>
    <row r="23" spans="1:10" ht="28.8" x14ac:dyDescent="0.3">
      <c r="A23" s="12" t="s">
        <v>622</v>
      </c>
      <c r="B23" s="12" t="s">
        <v>538</v>
      </c>
      <c r="C23" s="13" t="s">
        <v>623</v>
      </c>
      <c r="D23" s="12">
        <v>2</v>
      </c>
      <c r="E23" s="12" t="s">
        <v>624</v>
      </c>
      <c r="F23" s="19">
        <f t="shared" si="1"/>
        <v>46149</v>
      </c>
      <c r="G23" s="19">
        <f t="shared" si="0"/>
        <v>46150</v>
      </c>
      <c r="H23" s="12" t="s">
        <v>615</v>
      </c>
      <c r="I23" s="13" t="s">
        <v>625</v>
      </c>
      <c r="J23" s="12" t="s">
        <v>0</v>
      </c>
    </row>
    <row r="24" spans="1:10" ht="28.8" x14ac:dyDescent="0.3">
      <c r="A24" s="10" t="s">
        <v>626</v>
      </c>
      <c r="B24" s="10" t="s">
        <v>538</v>
      </c>
      <c r="C24" s="11" t="s">
        <v>627</v>
      </c>
      <c r="D24" s="10">
        <v>2</v>
      </c>
      <c r="E24" s="10" t="s">
        <v>628</v>
      </c>
      <c r="F24" s="16">
        <f t="shared" si="1"/>
        <v>46151</v>
      </c>
      <c r="G24" s="16">
        <f t="shared" si="0"/>
        <v>46152</v>
      </c>
      <c r="H24" s="10" t="s">
        <v>622</v>
      </c>
      <c r="I24" s="11" t="s">
        <v>629</v>
      </c>
      <c r="J24" s="10" t="s">
        <v>0</v>
      </c>
    </row>
    <row r="25" spans="1:10" ht="28.8" x14ac:dyDescent="0.3">
      <c r="A25" s="12" t="s">
        <v>630</v>
      </c>
      <c r="B25" s="12" t="s">
        <v>538</v>
      </c>
      <c r="C25" s="13" t="s">
        <v>631</v>
      </c>
      <c r="D25" s="12">
        <v>1</v>
      </c>
      <c r="E25" s="12" t="s">
        <v>632</v>
      </c>
      <c r="F25" s="19">
        <f t="shared" si="1"/>
        <v>46153</v>
      </c>
      <c r="G25" s="19">
        <f t="shared" si="0"/>
        <v>46153</v>
      </c>
      <c r="H25" s="12" t="s">
        <v>626</v>
      </c>
      <c r="I25" s="13" t="s">
        <v>633</v>
      </c>
      <c r="J25" s="12" t="s">
        <v>0</v>
      </c>
    </row>
  </sheetData>
  <mergeCells count="1">
    <mergeCell ref="A1:J1"/>
  </mergeCells>
  <conditionalFormatting sqref="J4:J25">
    <cfRule type="expression" dxfId="3" priority="1">
      <formula>J4="Done"</formula>
    </cfRule>
    <cfRule type="expression" dxfId="2" priority="2">
      <formula>J4="In Progress"</formula>
    </cfRule>
    <cfRule type="expression" dxfId="1" priority="3">
      <formula>J4="Blocked"</formula>
    </cfRule>
    <cfRule type="expression" dxfId="0" priority="4">
      <formula>J4="Not Started"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800-000000000000}">
          <x14:formula1>
            <xm:f>Lists!$A$1:$A$4</xm:f>
          </x14:formula1>
          <xm:sqref>J4:J25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9"/>
  <sheetViews>
    <sheetView showGridLines="0" workbookViewId="0">
      <selection sqref="A1:F1"/>
    </sheetView>
  </sheetViews>
  <sheetFormatPr defaultRowHeight="14.4" x14ac:dyDescent="0.3"/>
  <cols>
    <col min="1" max="1" width="10" customWidth="1"/>
    <col min="2" max="2" width="14" customWidth="1"/>
    <col min="3" max="3" width="24" customWidth="1"/>
    <col min="4" max="4" width="78" customWidth="1"/>
    <col min="5" max="5" width="36" customWidth="1"/>
    <col min="6" max="6" width="16" customWidth="1"/>
  </cols>
  <sheetData>
    <row r="1" spans="1:6" ht="22.05" customHeight="1" x14ac:dyDescent="0.3">
      <c r="A1" s="22" t="s">
        <v>634</v>
      </c>
      <c r="B1" s="21"/>
      <c r="C1" s="21"/>
      <c r="D1" s="21"/>
      <c r="E1" s="21"/>
      <c r="F1" s="21"/>
    </row>
    <row r="2" spans="1:6" x14ac:dyDescent="0.3">
      <c r="A2" s="1"/>
      <c r="B2" s="1"/>
      <c r="C2" s="1"/>
      <c r="D2" s="1"/>
      <c r="E2" s="1"/>
      <c r="F2" s="1"/>
    </row>
    <row r="3" spans="1:6" ht="22.05" customHeight="1" x14ac:dyDescent="0.3">
      <c r="A3" s="9" t="s">
        <v>635</v>
      </c>
      <c r="B3" s="9" t="s">
        <v>89</v>
      </c>
      <c r="C3" s="9" t="s">
        <v>513</v>
      </c>
      <c r="D3" s="9" t="s">
        <v>636</v>
      </c>
      <c r="E3" s="9" t="s">
        <v>637</v>
      </c>
      <c r="F3" s="9" t="s">
        <v>549</v>
      </c>
    </row>
    <row r="4" spans="1:6" ht="72" customHeight="1" x14ac:dyDescent="0.3">
      <c r="A4" s="10" t="s">
        <v>638</v>
      </c>
      <c r="B4" s="10" t="s">
        <v>3</v>
      </c>
      <c r="C4" s="11" t="s">
        <v>639</v>
      </c>
      <c r="D4" s="11" t="s">
        <v>640</v>
      </c>
      <c r="E4" s="11" t="s">
        <v>641</v>
      </c>
      <c r="F4" s="10" t="s">
        <v>555</v>
      </c>
    </row>
    <row r="5" spans="1:6" ht="72" customHeight="1" x14ac:dyDescent="0.3">
      <c r="A5" s="12" t="s">
        <v>642</v>
      </c>
      <c r="B5" s="12" t="s">
        <v>3</v>
      </c>
      <c r="C5" s="13" t="s">
        <v>643</v>
      </c>
      <c r="D5" s="13" t="s">
        <v>644</v>
      </c>
      <c r="E5" s="13" t="s">
        <v>645</v>
      </c>
      <c r="F5" s="12" t="s">
        <v>638</v>
      </c>
    </row>
    <row r="6" spans="1:6" ht="72" customHeight="1" x14ac:dyDescent="0.3">
      <c r="A6" s="10" t="s">
        <v>646</v>
      </c>
      <c r="B6" s="10" t="s">
        <v>3</v>
      </c>
      <c r="C6" s="11" t="s">
        <v>647</v>
      </c>
      <c r="D6" s="11" t="s">
        <v>648</v>
      </c>
      <c r="E6" s="11" t="s">
        <v>649</v>
      </c>
      <c r="F6" s="10" t="s">
        <v>638</v>
      </c>
    </row>
    <row r="7" spans="1:6" ht="72" customHeight="1" x14ac:dyDescent="0.3">
      <c r="A7" s="12" t="s">
        <v>650</v>
      </c>
      <c r="B7" s="12" t="s">
        <v>3</v>
      </c>
      <c r="C7" s="13" t="s">
        <v>651</v>
      </c>
      <c r="D7" s="13" t="s">
        <v>652</v>
      </c>
      <c r="E7" s="13" t="s">
        <v>653</v>
      </c>
      <c r="F7" s="12" t="s">
        <v>646</v>
      </c>
    </row>
    <row r="8" spans="1:6" ht="72" customHeight="1" x14ac:dyDescent="0.3">
      <c r="A8" s="10" t="s">
        <v>654</v>
      </c>
      <c r="B8" s="10" t="s">
        <v>8</v>
      </c>
      <c r="C8" s="11" t="s">
        <v>655</v>
      </c>
      <c r="D8" s="11" t="s">
        <v>656</v>
      </c>
      <c r="E8" s="11" t="s">
        <v>657</v>
      </c>
      <c r="F8" s="10" t="s">
        <v>658</v>
      </c>
    </row>
    <row r="9" spans="1:6" ht="72" customHeight="1" x14ac:dyDescent="0.3">
      <c r="A9" s="12" t="s">
        <v>659</v>
      </c>
      <c r="B9" s="12" t="s">
        <v>8</v>
      </c>
      <c r="C9" s="13" t="s">
        <v>660</v>
      </c>
      <c r="D9" s="13" t="s">
        <v>661</v>
      </c>
      <c r="E9" s="13" t="s">
        <v>662</v>
      </c>
      <c r="F9" s="12" t="s">
        <v>663</v>
      </c>
    </row>
    <row r="10" spans="1:6" ht="72" customHeight="1" x14ac:dyDescent="0.3">
      <c r="A10" s="10" t="s">
        <v>664</v>
      </c>
      <c r="B10" s="10" t="s">
        <v>8</v>
      </c>
      <c r="C10" s="11" t="s">
        <v>665</v>
      </c>
      <c r="D10" s="11" t="s">
        <v>666</v>
      </c>
      <c r="E10" s="11" t="s">
        <v>667</v>
      </c>
      <c r="F10" s="10" t="s">
        <v>668</v>
      </c>
    </row>
    <row r="11" spans="1:6" ht="72" customHeight="1" x14ac:dyDescent="0.3">
      <c r="A11" s="12" t="s">
        <v>669</v>
      </c>
      <c r="B11" s="12" t="s">
        <v>8</v>
      </c>
      <c r="C11" s="13" t="s">
        <v>670</v>
      </c>
      <c r="D11" s="13" t="s">
        <v>671</v>
      </c>
      <c r="E11" s="13" t="s">
        <v>672</v>
      </c>
      <c r="F11" s="12" t="s">
        <v>668</v>
      </c>
    </row>
    <row r="12" spans="1:6" ht="72" customHeight="1" x14ac:dyDescent="0.3">
      <c r="A12" s="10" t="s">
        <v>673</v>
      </c>
      <c r="B12" s="10" t="s">
        <v>13</v>
      </c>
      <c r="C12" s="11" t="s">
        <v>674</v>
      </c>
      <c r="D12" s="11" t="s">
        <v>675</v>
      </c>
      <c r="E12" s="11" t="s">
        <v>676</v>
      </c>
      <c r="F12" s="10" t="s">
        <v>677</v>
      </c>
    </row>
    <row r="13" spans="1:6" ht="72" customHeight="1" x14ac:dyDescent="0.3">
      <c r="A13" s="12" t="s">
        <v>678</v>
      </c>
      <c r="B13" s="12" t="s">
        <v>13</v>
      </c>
      <c r="C13" s="13" t="s">
        <v>679</v>
      </c>
      <c r="D13" s="13" t="s">
        <v>680</v>
      </c>
      <c r="E13" s="13" t="s">
        <v>681</v>
      </c>
      <c r="F13" s="12" t="s">
        <v>682</v>
      </c>
    </row>
    <row r="14" spans="1:6" ht="72" customHeight="1" x14ac:dyDescent="0.3">
      <c r="A14" s="10" t="s">
        <v>683</v>
      </c>
      <c r="B14" s="10" t="s">
        <v>13</v>
      </c>
      <c r="C14" s="11" t="s">
        <v>684</v>
      </c>
      <c r="D14" s="11" t="s">
        <v>685</v>
      </c>
      <c r="E14" s="11" t="s">
        <v>686</v>
      </c>
      <c r="F14" s="10" t="s">
        <v>669</v>
      </c>
    </row>
    <row r="15" spans="1:6" ht="72" customHeight="1" x14ac:dyDescent="0.3">
      <c r="A15" s="12" t="s">
        <v>687</v>
      </c>
      <c r="B15" s="12" t="s">
        <v>17</v>
      </c>
      <c r="C15" s="13" t="s">
        <v>688</v>
      </c>
      <c r="D15" s="13" t="s">
        <v>689</v>
      </c>
      <c r="E15" s="13" t="s">
        <v>690</v>
      </c>
      <c r="F15" s="12" t="s">
        <v>691</v>
      </c>
    </row>
    <row r="16" spans="1:6" ht="72" customHeight="1" x14ac:dyDescent="0.3">
      <c r="A16" s="10" t="s">
        <v>692</v>
      </c>
      <c r="B16" s="10" t="s">
        <v>17</v>
      </c>
      <c r="C16" s="11" t="s">
        <v>693</v>
      </c>
      <c r="D16" s="11" t="s">
        <v>694</v>
      </c>
      <c r="E16" s="11" t="s">
        <v>695</v>
      </c>
      <c r="F16" s="10" t="s">
        <v>696</v>
      </c>
    </row>
    <row r="17" spans="1:6" ht="72" customHeight="1" x14ac:dyDescent="0.3">
      <c r="A17" s="12" t="s">
        <v>697</v>
      </c>
      <c r="B17" s="12" t="s">
        <v>20</v>
      </c>
      <c r="C17" s="13" t="s">
        <v>698</v>
      </c>
      <c r="D17" s="13" t="s">
        <v>699</v>
      </c>
      <c r="E17" s="13" t="s">
        <v>700</v>
      </c>
      <c r="F17" s="12" t="s">
        <v>701</v>
      </c>
    </row>
    <row r="18" spans="1:6" ht="72" customHeight="1" x14ac:dyDescent="0.3">
      <c r="A18" s="10" t="s">
        <v>702</v>
      </c>
      <c r="B18" s="10" t="s">
        <v>20</v>
      </c>
      <c r="C18" s="11" t="s">
        <v>703</v>
      </c>
      <c r="D18" s="11" t="s">
        <v>704</v>
      </c>
      <c r="E18" s="11" t="s">
        <v>705</v>
      </c>
      <c r="F18" s="10" t="s">
        <v>706</v>
      </c>
    </row>
    <row r="19" spans="1:6" ht="72" customHeight="1" x14ac:dyDescent="0.3">
      <c r="A19" s="12" t="s">
        <v>707</v>
      </c>
      <c r="B19" s="12" t="s">
        <v>708</v>
      </c>
      <c r="C19" s="13" t="s">
        <v>709</v>
      </c>
      <c r="D19" s="13" t="s">
        <v>710</v>
      </c>
      <c r="E19" s="13" t="s">
        <v>711</v>
      </c>
      <c r="F19" s="12" t="s">
        <v>712</v>
      </c>
    </row>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Lists</vt:lpstr>
      <vt:lpstr>README</vt:lpstr>
      <vt:lpstr>SRS</vt:lpstr>
      <vt:lpstr>Requirements</vt:lpstr>
      <vt:lpstr>Roles_Permissions</vt:lpstr>
      <vt:lpstr>DB_Schema</vt:lpstr>
      <vt:lpstr>Liquibase_Plan</vt:lpstr>
      <vt:lpstr>Milestones</vt:lpstr>
      <vt:lpstr>Plan</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Navaa Thombare</cp:lastModifiedBy>
  <dcterms:modified xsi:type="dcterms:W3CDTF">2026-04-08T04:07:55Z</dcterms:modified>
</cp:coreProperties>
</file>